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ter Usage Log" sheetId="1" state="visible" r:id="rId3"/>
    <sheet name="Dataset Notes" sheetId="2" state="visible" r:id="rId4"/>
  </sheets>
  <definedNames>
    <definedName function="false" hidden="true" localSheetId="0" name="_xlnm._FilterDatabase" vbProcedure="false">'Water Usage Log'!$A$1:$K$131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<sst xmlns="http://schemas.openxmlformats.org/spreadsheetml/2006/main" count="544" uniqueCount="210">
  <si>
    <t xml:space="preserve">Record ID</t>
  </si>
  <si>
    <t xml:space="preserve">Household ID</t>
  </si>
  <si>
    <t xml:space="preserve">Ward</t>
  </si>
  <si>
    <t xml:space="preserve">Sensor ID</t>
  </si>
  <si>
    <t xml:space="preserve">Date</t>
  </si>
  <si>
    <t xml:space="preserve">Family Size</t>
  </si>
  <si>
    <t xml:space="preserve">Daily Usage (L)</t>
  </si>
  <si>
    <t xml:space="preserve">Daily Limit (L)</t>
  </si>
  <si>
    <t xml:space="preserve">Usage Status</t>
  </si>
  <si>
    <t xml:space="preserve">Leak/Overuse Alert</t>
  </si>
  <si>
    <t xml:space="preserve">Sensor Battery (%)</t>
  </si>
  <si>
    <t xml:space="preserve">WM-0001</t>
  </si>
  <si>
    <t xml:space="preserve">HH-001</t>
  </si>
  <si>
    <t xml:space="preserve">Ward 1</t>
  </si>
  <si>
    <t xml:space="preserve">SNS-1000</t>
  </si>
  <si>
    <t xml:space="preserve">WM-0002</t>
  </si>
  <si>
    <t xml:space="preserve">WM-0003</t>
  </si>
  <si>
    <t xml:space="preserve">WM-0004</t>
  </si>
  <si>
    <t xml:space="preserve">WM-0005</t>
  </si>
  <si>
    <t xml:space="preserve">WM-0006</t>
  </si>
  <si>
    <t xml:space="preserve">HH-002</t>
  </si>
  <si>
    <t xml:space="preserve">Ward 2</t>
  </si>
  <si>
    <t xml:space="preserve">SNS-1001</t>
  </si>
  <si>
    <t xml:space="preserve">WM-0007</t>
  </si>
  <si>
    <t xml:space="preserve">WM-0008</t>
  </si>
  <si>
    <t xml:space="preserve">WM-0009</t>
  </si>
  <si>
    <t xml:space="preserve">WM-0010</t>
  </si>
  <si>
    <t xml:space="preserve">WM-0011</t>
  </si>
  <si>
    <t xml:space="preserve">HH-003</t>
  </si>
  <si>
    <t xml:space="preserve">Ward 3</t>
  </si>
  <si>
    <t xml:space="preserve">SNS-1002</t>
  </si>
  <si>
    <t xml:space="preserve">WM-0012</t>
  </si>
  <si>
    <t xml:space="preserve">WM-0013</t>
  </si>
  <si>
    <t xml:space="preserve">WM-0014</t>
  </si>
  <si>
    <t xml:space="preserve">WM-0015</t>
  </si>
  <si>
    <t xml:space="preserve">WM-0016</t>
  </si>
  <si>
    <t xml:space="preserve">HH-004</t>
  </si>
  <si>
    <t xml:space="preserve">Ward 4</t>
  </si>
  <si>
    <t xml:space="preserve">SNS-1003</t>
  </si>
  <si>
    <t xml:space="preserve">WM-0017</t>
  </si>
  <si>
    <t xml:space="preserve">WM-0018</t>
  </si>
  <si>
    <t xml:space="preserve">WM-0019</t>
  </si>
  <si>
    <t xml:space="preserve">WM-0020</t>
  </si>
  <si>
    <t xml:space="preserve">WM-0021</t>
  </si>
  <si>
    <t xml:space="preserve">HH-005</t>
  </si>
  <si>
    <t xml:space="preserve">SNS-1004</t>
  </si>
  <si>
    <t xml:space="preserve">WM-0022</t>
  </si>
  <si>
    <t xml:space="preserve">WM-0023</t>
  </si>
  <si>
    <t xml:space="preserve">WM-0024</t>
  </si>
  <si>
    <t xml:space="preserve">WM-0025</t>
  </si>
  <si>
    <t xml:space="preserve">WM-0026</t>
  </si>
  <si>
    <t xml:space="preserve">HH-006</t>
  </si>
  <si>
    <t xml:space="preserve">SNS-1005</t>
  </si>
  <si>
    <t xml:space="preserve">WM-0027</t>
  </si>
  <si>
    <t xml:space="preserve">WM-0028</t>
  </si>
  <si>
    <t xml:space="preserve">WM-0029</t>
  </si>
  <si>
    <t xml:space="preserve">WM-0030</t>
  </si>
  <si>
    <t xml:space="preserve">WM-0031</t>
  </si>
  <si>
    <t xml:space="preserve">HH-007</t>
  </si>
  <si>
    <t xml:space="preserve">SNS-1006</t>
  </si>
  <si>
    <t xml:space="preserve">WM-0032</t>
  </si>
  <si>
    <t xml:space="preserve">WM-0033</t>
  </si>
  <si>
    <t xml:space="preserve">WM-0034</t>
  </si>
  <si>
    <t xml:space="preserve">WM-0035</t>
  </si>
  <si>
    <t xml:space="preserve">WM-0036</t>
  </si>
  <si>
    <t xml:space="preserve">HH-008</t>
  </si>
  <si>
    <t xml:space="preserve">SNS-1007</t>
  </si>
  <si>
    <t xml:space="preserve">WM-0037</t>
  </si>
  <si>
    <t xml:space="preserve">WM-0038</t>
  </si>
  <si>
    <t xml:space="preserve">WM-0039</t>
  </si>
  <si>
    <t xml:space="preserve">WM-0040</t>
  </si>
  <si>
    <t xml:space="preserve">WM-0041</t>
  </si>
  <si>
    <t xml:space="preserve">HH-009</t>
  </si>
  <si>
    <t xml:space="preserve">SNS-1008</t>
  </si>
  <si>
    <t xml:space="preserve">WM-0042</t>
  </si>
  <si>
    <t xml:space="preserve">WM-0043</t>
  </si>
  <si>
    <t xml:space="preserve">WM-0044</t>
  </si>
  <si>
    <t xml:space="preserve">WM-0045</t>
  </si>
  <si>
    <t xml:space="preserve">WM-0046</t>
  </si>
  <si>
    <t xml:space="preserve">HH-010</t>
  </si>
  <si>
    <t xml:space="preserve">SNS-1009</t>
  </si>
  <si>
    <t xml:space="preserve">WM-0047</t>
  </si>
  <si>
    <t xml:space="preserve">WM-0048</t>
  </si>
  <si>
    <t xml:space="preserve">WM-0049</t>
  </si>
  <si>
    <t xml:space="preserve">WM-0050</t>
  </si>
  <si>
    <t xml:space="preserve">WM-0051</t>
  </si>
  <si>
    <t xml:space="preserve">HH-011</t>
  </si>
  <si>
    <t xml:space="preserve">SNS-1010</t>
  </si>
  <si>
    <t xml:space="preserve">WM-0052</t>
  </si>
  <si>
    <t xml:space="preserve">WM-0053</t>
  </si>
  <si>
    <t xml:space="preserve">WM-0054</t>
  </si>
  <si>
    <t xml:space="preserve">WM-0055</t>
  </si>
  <si>
    <t xml:space="preserve">WM-0056</t>
  </si>
  <si>
    <t xml:space="preserve">HH-012</t>
  </si>
  <si>
    <t xml:space="preserve">SNS-1011</t>
  </si>
  <si>
    <t xml:space="preserve">WM-0057</t>
  </si>
  <si>
    <t xml:space="preserve">WM-0058</t>
  </si>
  <si>
    <t xml:space="preserve">WM-0059</t>
  </si>
  <si>
    <t xml:space="preserve">WM-0060</t>
  </si>
  <si>
    <t xml:space="preserve">WM-0061</t>
  </si>
  <si>
    <t xml:space="preserve">HH-013</t>
  </si>
  <si>
    <t xml:space="preserve">SNS-1012</t>
  </si>
  <si>
    <t xml:space="preserve">WM-0062</t>
  </si>
  <si>
    <t xml:space="preserve">WM-0063</t>
  </si>
  <si>
    <t xml:space="preserve">WM-0064</t>
  </si>
  <si>
    <t xml:space="preserve">WM-0065</t>
  </si>
  <si>
    <t xml:space="preserve">WM-0066</t>
  </si>
  <si>
    <t xml:space="preserve">HH-014</t>
  </si>
  <si>
    <t xml:space="preserve">SNS-1013</t>
  </si>
  <si>
    <t xml:space="preserve">WM-0067</t>
  </si>
  <si>
    <t xml:space="preserve">WM-0068</t>
  </si>
  <si>
    <t xml:space="preserve">WM-0069</t>
  </si>
  <si>
    <t xml:space="preserve">WM-0070</t>
  </si>
  <si>
    <t xml:space="preserve">WM-0071</t>
  </si>
  <si>
    <t xml:space="preserve">HH-015</t>
  </si>
  <si>
    <t xml:space="preserve">SNS-1014</t>
  </si>
  <si>
    <t xml:space="preserve">WM-0072</t>
  </si>
  <si>
    <t xml:space="preserve">WM-0073</t>
  </si>
  <si>
    <t xml:space="preserve">WM-0074</t>
  </si>
  <si>
    <t xml:space="preserve">WM-0075</t>
  </si>
  <si>
    <t xml:space="preserve">WM-0076</t>
  </si>
  <si>
    <t xml:space="preserve">HH-016</t>
  </si>
  <si>
    <t xml:space="preserve">SNS-1015</t>
  </si>
  <si>
    <t xml:space="preserve">WM-0077</t>
  </si>
  <si>
    <t xml:space="preserve">WM-0078</t>
  </si>
  <si>
    <t xml:space="preserve">WM-0079</t>
  </si>
  <si>
    <t xml:space="preserve">WM-0080</t>
  </si>
  <si>
    <t xml:space="preserve">WM-0081</t>
  </si>
  <si>
    <t xml:space="preserve">HH-017</t>
  </si>
  <si>
    <t xml:space="preserve">SNS-1016</t>
  </si>
  <si>
    <t xml:space="preserve">WM-0082</t>
  </si>
  <si>
    <t xml:space="preserve">WM-0083</t>
  </si>
  <si>
    <t xml:space="preserve">WM-0084</t>
  </si>
  <si>
    <t xml:space="preserve">WM-0085</t>
  </si>
  <si>
    <t xml:space="preserve">WM-0086</t>
  </si>
  <si>
    <t xml:space="preserve">HH-018</t>
  </si>
  <si>
    <t xml:space="preserve">SNS-1017</t>
  </si>
  <si>
    <t xml:space="preserve">WM-0087</t>
  </si>
  <si>
    <t xml:space="preserve">WM-0088</t>
  </si>
  <si>
    <t xml:space="preserve">WM-0089</t>
  </si>
  <si>
    <t xml:space="preserve">WM-0090</t>
  </si>
  <si>
    <t xml:space="preserve">WM-0091</t>
  </si>
  <si>
    <t xml:space="preserve">HH-019</t>
  </si>
  <si>
    <t xml:space="preserve">SNS-1018</t>
  </si>
  <si>
    <t xml:space="preserve">WM-0092</t>
  </si>
  <si>
    <t xml:space="preserve">WM-0093</t>
  </si>
  <si>
    <t xml:space="preserve">WM-0094</t>
  </si>
  <si>
    <t xml:space="preserve">WM-0095</t>
  </si>
  <si>
    <t xml:space="preserve">WM-0096</t>
  </si>
  <si>
    <t xml:space="preserve">HH-020</t>
  </si>
  <si>
    <t xml:space="preserve">SNS-1019</t>
  </si>
  <si>
    <t xml:space="preserve">WM-0097</t>
  </si>
  <si>
    <t xml:space="preserve">WM-0098</t>
  </si>
  <si>
    <t xml:space="preserve">WM-0099</t>
  </si>
  <si>
    <t xml:space="preserve">WM-0100</t>
  </si>
  <si>
    <t xml:space="preserve">WM-0101</t>
  </si>
  <si>
    <t xml:space="preserve">HH-021</t>
  </si>
  <si>
    <t xml:space="preserve">SNS-1020</t>
  </si>
  <si>
    <t xml:space="preserve">WM-0102</t>
  </si>
  <si>
    <t xml:space="preserve">WM-0103</t>
  </si>
  <si>
    <t xml:space="preserve">WM-0104</t>
  </si>
  <si>
    <t xml:space="preserve">WM-0105</t>
  </si>
  <si>
    <t xml:space="preserve">WM-0106</t>
  </si>
  <si>
    <t xml:space="preserve">HH-022</t>
  </si>
  <si>
    <t xml:space="preserve">SNS-1021</t>
  </si>
  <si>
    <t xml:space="preserve">WM-0107</t>
  </si>
  <si>
    <t xml:space="preserve">WM-0108</t>
  </si>
  <si>
    <t xml:space="preserve">WM-0109</t>
  </si>
  <si>
    <t xml:space="preserve">WM-0110</t>
  </si>
  <si>
    <t xml:space="preserve">WM-0111</t>
  </si>
  <si>
    <t xml:space="preserve">HH-023</t>
  </si>
  <si>
    <t xml:space="preserve">SNS-1022</t>
  </si>
  <si>
    <t xml:space="preserve">WM-0112</t>
  </si>
  <si>
    <t xml:space="preserve">WM-0113</t>
  </si>
  <si>
    <t xml:space="preserve">WM-0114</t>
  </si>
  <si>
    <t xml:space="preserve">WM-0115</t>
  </si>
  <si>
    <t xml:space="preserve">WM-0116</t>
  </si>
  <si>
    <t xml:space="preserve">HH-024</t>
  </si>
  <si>
    <t xml:space="preserve">SNS-1023</t>
  </si>
  <si>
    <t xml:space="preserve">WM-0117</t>
  </si>
  <si>
    <t xml:space="preserve">WM-0118</t>
  </si>
  <si>
    <t xml:space="preserve">WM-0119</t>
  </si>
  <si>
    <t xml:space="preserve">WM-0120</t>
  </si>
  <si>
    <t xml:space="preserve">WM-0121</t>
  </si>
  <si>
    <t xml:space="preserve">HH-025</t>
  </si>
  <si>
    <t xml:space="preserve">SNS-1024</t>
  </si>
  <si>
    <t xml:space="preserve">WM-0122</t>
  </si>
  <si>
    <t xml:space="preserve">WM-0123</t>
  </si>
  <si>
    <t xml:space="preserve">WM-0124</t>
  </si>
  <si>
    <t xml:space="preserve">WM-0125</t>
  </si>
  <si>
    <t xml:space="preserve">WM-0126</t>
  </si>
  <si>
    <t xml:space="preserve">HH-026</t>
  </si>
  <si>
    <t xml:space="preserve">SNS-1025</t>
  </si>
  <si>
    <t xml:space="preserve">WM-0127</t>
  </si>
  <si>
    <t xml:space="preserve">WM-0128</t>
  </si>
  <si>
    <t xml:space="preserve">WM-0129</t>
  </si>
  <si>
    <t xml:space="preserve">WM-0130</t>
  </si>
  <si>
    <t xml:space="preserve">Dataset: Simulated Household Water Usage Log</t>
  </si>
  <si>
    <t xml:space="preserve">Purpose: Sample IoT sensor data for testing the anomaly-detection / dashboard</t>
  </si>
  <si>
    <t xml:space="preserve">components of the Smart Water Monitoring System project.</t>
  </si>
  <si>
    <t xml:space="preserve">Records: 130 (26 households x 5 days, 22 Jun - 26 Jun 2026)</t>
  </si>
  <si>
    <t xml:space="preserve">Households: HH-001 to HH-026, distributed across Ward 1-4</t>
  </si>
  <si>
    <t xml:space="preserve">Daily Limit: derived per household from family size (~60 L/person/day, +/- variance)</t>
  </si>
  <si>
    <t xml:space="preserve">Daily Usage: simulated from a per-household baseline (55-85% of limit) with random</t>
  </si>
  <si>
    <t xml:space="preserve">  day-to-day variation; ~10% of records seeded as anomalies (1.4x-2.3x the limit)</t>
  </si>
  <si>
    <t xml:space="preserve">  to represent leaks / overuse events for testing alert logic.</t>
  </si>
  <si>
    <t xml:space="preserve">Usage Status / Leak Alert columns: live formulas (col I, J) -- recalculate</t>
  </si>
  <si>
    <t xml:space="preserve">  automatically if you edit Daily Usage or Daily Limit values.</t>
  </si>
  <si>
    <t xml:space="preserve">NOTE: This is synthetic, illustrative data generated for demonstration and testing</t>
  </si>
  <si>
    <t xml:space="preserve">purposes -- it does not represent a real village or real sensor readings.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</si>
</sst>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3"/>
      <color rgb="FF21295C"/>
      <name val="Arial"/>
      <family val="0"/>
      <charset val="1"/>
    </font>
    <font>
      <i val="true"/>
      <sz val="10.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1295C"/>
        <bgColor rgb="FF003366"/>
      </patternFill>
    </fill>
    <fill>
      <patternFill patternType="solid">
        <fgColor rgb="FFEAF3F7"/>
        <bgColor rgb="FFFFFFFF"/>
      </patternFill>
    </fill>
    <fill>
      <patternFill patternType="solid">
        <fgColor rgb="FFFFFFFF"/>
        <bgColor rgb="FFEA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C"/>
      </left>
      <right style="thin">
        <color rgb="FFD0D7DC"/>
      </right>
      <top style="thin">
        <color rgb="FFD0D7DC"/>
      </top>
      <bottom style="thin">
        <color rgb="FFD0D7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1295C"/>
          <bgColor rgb="FF000000"/>
        </patternFill>
      </fill>
    </dxf>
    <dxf>
      <fill>
        <patternFill patternType="solid">
          <fgColor rgb="FFEAF3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3F7"/>
      <rgbColor rgb="FF660066"/>
      <rgbColor rgb="FFFF8080"/>
      <rgbColor rgb="FF0066CC"/>
      <rgbColor rgb="FFD0D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9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14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3" t="n">
        <v>46195</v>
      </c>
      <c r="F2" s="4" t="n">
        <v>2</v>
      </c>
      <c r="G2" s="4" t="n">
        <v>92.3</v>
      </c>
      <c r="H2" s="4" t="n">
        <v>130</v>
      </c>
      <c r="I2" s="2" t="str">
        <f aca="false">IF(G2&gt;H2,"Over Limit","Normal")</f>
        <v>Normal</v>
      </c>
      <c r="J2" s="2" t="str">
        <f aca="false">IF(G2&gt;H2*1.4,"LEAK ALERT",IF(G2&gt;H2,"Warning","OK"))</f>
        <v>OK</v>
      </c>
      <c r="K2" s="4" t="n">
        <v>45</v>
      </c>
    </row>
    <row r="3" customFormat="false" ht="15" hidden="false" customHeight="false" outlineLevel="0" collapsed="false">
      <c r="A3" s="5" t="s">
        <v>15</v>
      </c>
      <c r="B3" s="5" t="s">
        <v>12</v>
      </c>
      <c r="C3" s="5" t="s">
        <v>13</v>
      </c>
      <c r="D3" s="5" t="s">
        <v>14</v>
      </c>
      <c r="E3" s="6" t="n">
        <v>46196</v>
      </c>
      <c r="F3" s="7" t="n">
        <v>2</v>
      </c>
      <c r="G3" s="7" t="n">
        <v>80.7</v>
      </c>
      <c r="H3" s="7" t="n">
        <v>130</v>
      </c>
      <c r="I3" s="5" t="str">
        <f aca="false">IF(G3&gt;H3,"Over Limit","Normal")</f>
        <v>Normal</v>
      </c>
      <c r="J3" s="5" t="str">
        <f aca="false">IF(G3&gt;H3*1.4,"LEAK ALERT",IF(G3&gt;H3,"Warning","OK"))</f>
        <v>OK</v>
      </c>
      <c r="K3" s="7" t="n">
        <v>79</v>
      </c>
    </row>
    <row r="4" customFormat="false" ht="15" hidden="false" customHeight="false" outlineLevel="0" collapsed="false">
      <c r="A4" s="2" t="s">
        <v>16</v>
      </c>
      <c r="B4" s="2" t="s">
        <v>12</v>
      </c>
      <c r="C4" s="2" t="s">
        <v>13</v>
      </c>
      <c r="D4" s="2" t="s">
        <v>14</v>
      </c>
      <c r="E4" s="3" t="n">
        <v>46197</v>
      </c>
      <c r="F4" s="4" t="n">
        <v>2</v>
      </c>
      <c r="G4" s="4" t="n">
        <v>88.1</v>
      </c>
      <c r="H4" s="4" t="n">
        <v>130</v>
      </c>
      <c r="I4" s="2" t="str">
        <f aca="false">IF(G4&gt;H4,"Over Limit","Normal")</f>
        <v>Normal</v>
      </c>
      <c r="J4" s="2" t="str">
        <f aca="false">IF(G4&gt;H4*1.4,"LEAK ALERT",IF(G4&gt;H4,"Warning","OK"))</f>
        <v>OK</v>
      </c>
      <c r="K4" s="4" t="n">
        <v>56</v>
      </c>
    </row>
    <row r="5" customFormat="false" ht="15" hidden="false" customHeight="false" outlineLevel="0" collapsed="false">
      <c r="A5" s="5" t="s">
        <v>17</v>
      </c>
      <c r="B5" s="5" t="s">
        <v>12</v>
      </c>
      <c r="C5" s="5" t="s">
        <v>13</v>
      </c>
      <c r="D5" s="5" t="s">
        <v>14</v>
      </c>
      <c r="E5" s="6" t="n">
        <v>46198</v>
      </c>
      <c r="F5" s="7" t="n">
        <v>2</v>
      </c>
      <c r="G5" s="7" t="n">
        <v>86.8</v>
      </c>
      <c r="H5" s="7" t="n">
        <v>130</v>
      </c>
      <c r="I5" s="5" t="str">
        <f aca="false">IF(G5&gt;H5,"Over Limit","Normal")</f>
        <v>Normal</v>
      </c>
      <c r="J5" s="5" t="str">
        <f aca="false">IF(G5&gt;H5*1.4,"LEAK ALERT",IF(G5&gt;H5,"Warning","OK"))</f>
        <v>OK</v>
      </c>
      <c r="K5" s="7" t="n">
        <v>51</v>
      </c>
    </row>
    <row r="6" customFormat="false" ht="15" hidden="false" customHeight="false" outlineLevel="0" collapsed="false">
      <c r="A6" s="2" t="s">
        <v>18</v>
      </c>
      <c r="B6" s="2" t="s">
        <v>12</v>
      </c>
      <c r="C6" s="2" t="s">
        <v>13</v>
      </c>
      <c r="D6" s="2" t="s">
        <v>14</v>
      </c>
      <c r="E6" s="3" t="n">
        <v>46199</v>
      </c>
      <c r="F6" s="4" t="n">
        <v>2</v>
      </c>
      <c r="G6" s="4" t="n">
        <v>88.6</v>
      </c>
      <c r="H6" s="4" t="n">
        <v>130</v>
      </c>
      <c r="I6" s="2" t="str">
        <f aca="false">IF(G6&gt;H6,"Over Limit","Normal")</f>
        <v>Normal</v>
      </c>
      <c r="J6" s="2" t="str">
        <f aca="false">IF(G6&gt;H6*1.4,"LEAK ALERT",IF(G6&gt;H6,"Warning","OK"))</f>
        <v>OK</v>
      </c>
      <c r="K6" s="4" t="n">
        <v>100</v>
      </c>
    </row>
    <row r="7" customFormat="false" ht="15" hidden="false" customHeight="false" outlineLevel="0" collapsed="false">
      <c r="A7" s="5" t="s">
        <v>19</v>
      </c>
      <c r="B7" s="5" t="s">
        <v>20</v>
      </c>
      <c r="C7" s="5" t="s">
        <v>21</v>
      </c>
      <c r="D7" s="5" t="s">
        <v>22</v>
      </c>
      <c r="E7" s="6" t="n">
        <v>46195</v>
      </c>
      <c r="F7" s="7" t="n">
        <v>2</v>
      </c>
      <c r="G7" s="7" t="n">
        <v>83.4</v>
      </c>
      <c r="H7" s="7" t="n">
        <v>110</v>
      </c>
      <c r="I7" s="5" t="str">
        <f aca="false">IF(G7&gt;H7,"Over Limit","Normal")</f>
        <v>Normal</v>
      </c>
      <c r="J7" s="5" t="str">
        <f aca="false">IF(G7&gt;H7*1.4,"LEAK ALERT",IF(G7&gt;H7,"Warning","OK"))</f>
        <v>OK</v>
      </c>
      <c r="K7" s="7" t="n">
        <v>76</v>
      </c>
    </row>
    <row r="8" customFormat="false" ht="15" hidden="false" customHeight="false" outlineLevel="0" collapsed="false">
      <c r="A8" s="2" t="s">
        <v>23</v>
      </c>
      <c r="B8" s="2" t="s">
        <v>20</v>
      </c>
      <c r="C8" s="2" t="s">
        <v>21</v>
      </c>
      <c r="D8" s="2" t="s">
        <v>22</v>
      </c>
      <c r="E8" s="3" t="n">
        <v>46196</v>
      </c>
      <c r="F8" s="4" t="n">
        <v>2</v>
      </c>
      <c r="G8" s="4" t="n">
        <v>83.3</v>
      </c>
      <c r="H8" s="4" t="n">
        <v>110</v>
      </c>
      <c r="I8" s="2" t="str">
        <f aca="false">IF(G8&gt;H8,"Over Limit","Normal")</f>
        <v>Normal</v>
      </c>
      <c r="J8" s="2" t="str">
        <f aca="false">IF(G8&gt;H8*1.4,"LEAK ALERT",IF(G8&gt;H8,"Warning","OK"))</f>
        <v>OK</v>
      </c>
      <c r="K8" s="4" t="n">
        <v>90</v>
      </c>
    </row>
    <row r="9" customFormat="false" ht="15" hidden="false" customHeight="false" outlineLevel="0" collapsed="false">
      <c r="A9" s="5" t="s">
        <v>24</v>
      </c>
      <c r="B9" s="5" t="s">
        <v>20</v>
      </c>
      <c r="C9" s="5" t="s">
        <v>21</v>
      </c>
      <c r="D9" s="5" t="s">
        <v>22</v>
      </c>
      <c r="E9" s="6" t="n">
        <v>46197</v>
      </c>
      <c r="F9" s="7" t="n">
        <v>2</v>
      </c>
      <c r="G9" s="7" t="n">
        <v>90.1</v>
      </c>
      <c r="H9" s="7" t="n">
        <v>110</v>
      </c>
      <c r="I9" s="5" t="str">
        <f aca="false">IF(G9&gt;H9,"Over Limit","Normal")</f>
        <v>Normal</v>
      </c>
      <c r="J9" s="5" t="str">
        <f aca="false">IF(G9&gt;H9*1.4,"LEAK ALERT",IF(G9&gt;H9,"Warning","OK"))</f>
        <v>OK</v>
      </c>
      <c r="K9" s="7" t="n">
        <v>90</v>
      </c>
    </row>
    <row r="10" customFormat="false" ht="15" hidden="false" customHeight="false" outlineLevel="0" collapsed="false">
      <c r="A10" s="2" t="s">
        <v>25</v>
      </c>
      <c r="B10" s="2" t="s">
        <v>20</v>
      </c>
      <c r="C10" s="2" t="s">
        <v>21</v>
      </c>
      <c r="D10" s="2" t="s">
        <v>22</v>
      </c>
      <c r="E10" s="3" t="n">
        <v>46198</v>
      </c>
      <c r="F10" s="4" t="n">
        <v>2</v>
      </c>
      <c r="G10" s="4" t="n">
        <v>98.7</v>
      </c>
      <c r="H10" s="4" t="n">
        <v>110</v>
      </c>
      <c r="I10" s="2" t="str">
        <f aca="false">IF(G10&gt;H10,"Over Limit","Normal")</f>
        <v>Normal</v>
      </c>
      <c r="J10" s="2" t="str">
        <f aca="false">IF(G10&gt;H10*1.4,"LEAK ALERT",IF(G10&gt;H10,"Warning","OK"))</f>
        <v>OK</v>
      </c>
      <c r="K10" s="4" t="n">
        <v>92</v>
      </c>
    </row>
    <row r="11" customFormat="false" ht="15" hidden="false" customHeight="false" outlineLevel="0" collapsed="false">
      <c r="A11" s="5" t="s">
        <v>26</v>
      </c>
      <c r="B11" s="5" t="s">
        <v>20</v>
      </c>
      <c r="C11" s="5" t="s">
        <v>21</v>
      </c>
      <c r="D11" s="5" t="s">
        <v>22</v>
      </c>
      <c r="E11" s="6" t="n">
        <v>46199</v>
      </c>
      <c r="F11" s="7" t="n">
        <v>2</v>
      </c>
      <c r="G11" s="7" t="n">
        <v>87.9</v>
      </c>
      <c r="H11" s="7" t="n">
        <v>110</v>
      </c>
      <c r="I11" s="5" t="str">
        <f aca="false">IF(G11&gt;H11,"Over Limit","Normal")</f>
        <v>Normal</v>
      </c>
      <c r="J11" s="5" t="str">
        <f aca="false">IF(G11&gt;H11*1.4,"LEAK ALERT",IF(G11&gt;H11,"Warning","OK"))</f>
        <v>OK</v>
      </c>
      <c r="K11" s="7" t="n">
        <v>61</v>
      </c>
    </row>
    <row r="12" customFormat="false" ht="15" hidden="false" customHeight="false" outlineLevel="0" collapsed="false">
      <c r="A12" s="2" t="s">
        <v>27</v>
      </c>
      <c r="B12" s="2" t="s">
        <v>28</v>
      </c>
      <c r="C12" s="2" t="s">
        <v>29</v>
      </c>
      <c r="D12" s="2" t="s">
        <v>30</v>
      </c>
      <c r="E12" s="3" t="n">
        <v>46195</v>
      </c>
      <c r="F12" s="4" t="n">
        <v>4</v>
      </c>
      <c r="G12" s="4" t="n">
        <v>199.9</v>
      </c>
      <c r="H12" s="4" t="n">
        <v>240</v>
      </c>
      <c r="I12" s="2" t="str">
        <f aca="false">IF(G12&gt;H12,"Over Limit","Normal")</f>
        <v>Normal</v>
      </c>
      <c r="J12" s="2" t="str">
        <f aca="false">IF(G12&gt;H12*1.4,"LEAK ALERT",IF(G12&gt;H12,"Warning","OK"))</f>
        <v>OK</v>
      </c>
      <c r="K12" s="4" t="n">
        <v>77</v>
      </c>
    </row>
    <row r="13" customFormat="false" ht="15" hidden="false" customHeight="false" outlineLevel="0" collapsed="false">
      <c r="A13" s="5" t="s">
        <v>31</v>
      </c>
      <c r="B13" s="5" t="s">
        <v>28</v>
      </c>
      <c r="C13" s="5" t="s">
        <v>29</v>
      </c>
      <c r="D13" s="5" t="s">
        <v>30</v>
      </c>
      <c r="E13" s="6" t="n">
        <v>46196</v>
      </c>
      <c r="F13" s="7" t="n">
        <v>4</v>
      </c>
      <c r="G13" s="7" t="n">
        <v>178.1</v>
      </c>
      <c r="H13" s="7" t="n">
        <v>240</v>
      </c>
      <c r="I13" s="5" t="str">
        <f aca="false">IF(G13&gt;H13,"Over Limit","Normal")</f>
        <v>Normal</v>
      </c>
      <c r="J13" s="5" t="str">
        <f aca="false">IF(G13&gt;H13*1.4,"LEAK ALERT",IF(G13&gt;H13,"Warning","OK"))</f>
        <v>OK</v>
      </c>
      <c r="K13" s="7" t="n">
        <v>97</v>
      </c>
    </row>
    <row r="14" customFormat="false" ht="15" hidden="false" customHeight="false" outlineLevel="0" collapsed="false">
      <c r="A14" s="2" t="s">
        <v>32</v>
      </c>
      <c r="B14" s="2" t="s">
        <v>28</v>
      </c>
      <c r="C14" s="2" t="s">
        <v>29</v>
      </c>
      <c r="D14" s="2" t="s">
        <v>30</v>
      </c>
      <c r="E14" s="3" t="n">
        <v>46197</v>
      </c>
      <c r="F14" s="4" t="n">
        <v>4</v>
      </c>
      <c r="G14" s="4" t="n">
        <v>158.2</v>
      </c>
      <c r="H14" s="4" t="n">
        <v>240</v>
      </c>
      <c r="I14" s="2" t="str">
        <f aca="false">IF(G14&gt;H14,"Over Limit","Normal")</f>
        <v>Normal</v>
      </c>
      <c r="J14" s="2" t="str">
        <f aca="false">IF(G14&gt;H14*1.4,"LEAK ALERT",IF(G14&gt;H14,"Warning","OK"))</f>
        <v>OK</v>
      </c>
      <c r="K14" s="4" t="n">
        <v>72</v>
      </c>
    </row>
    <row r="15" customFormat="false" ht="15" hidden="false" customHeight="false" outlineLevel="0" collapsed="false">
      <c r="A15" s="5" t="s">
        <v>33</v>
      </c>
      <c r="B15" s="5" t="s">
        <v>28</v>
      </c>
      <c r="C15" s="5" t="s">
        <v>29</v>
      </c>
      <c r="D15" s="5" t="s">
        <v>30</v>
      </c>
      <c r="E15" s="6" t="n">
        <v>46198</v>
      </c>
      <c r="F15" s="7" t="n">
        <v>4</v>
      </c>
      <c r="G15" s="7" t="n">
        <v>147.8</v>
      </c>
      <c r="H15" s="7" t="n">
        <v>240</v>
      </c>
      <c r="I15" s="5" t="str">
        <f aca="false">IF(G15&gt;H15,"Over Limit","Normal")</f>
        <v>Normal</v>
      </c>
      <c r="J15" s="5" t="str">
        <f aca="false">IF(G15&gt;H15*1.4,"LEAK ALERT",IF(G15&gt;H15,"Warning","OK"))</f>
        <v>OK</v>
      </c>
      <c r="K15" s="7" t="n">
        <v>66</v>
      </c>
    </row>
    <row r="16" customFormat="false" ht="15" hidden="false" customHeight="false" outlineLevel="0" collapsed="false">
      <c r="A16" s="2" t="s">
        <v>34</v>
      </c>
      <c r="B16" s="2" t="s">
        <v>28</v>
      </c>
      <c r="C16" s="2" t="s">
        <v>29</v>
      </c>
      <c r="D16" s="2" t="s">
        <v>30</v>
      </c>
      <c r="E16" s="3" t="n">
        <v>46199</v>
      </c>
      <c r="F16" s="4" t="n">
        <v>4</v>
      </c>
      <c r="G16" s="4" t="n">
        <v>181.6</v>
      </c>
      <c r="H16" s="4" t="n">
        <v>240</v>
      </c>
      <c r="I16" s="2" t="str">
        <f aca="false">IF(G16&gt;H16,"Over Limit","Normal")</f>
        <v>Normal</v>
      </c>
      <c r="J16" s="2" t="str">
        <f aca="false">IF(G16&gt;H16*1.4,"LEAK ALERT",IF(G16&gt;H16,"Warning","OK"))</f>
        <v>OK</v>
      </c>
      <c r="K16" s="4" t="n">
        <v>50</v>
      </c>
    </row>
    <row r="17" customFormat="false" ht="15" hidden="false" customHeight="false" outlineLevel="0" collapsed="false">
      <c r="A17" s="5" t="s">
        <v>35</v>
      </c>
      <c r="B17" s="5" t="s">
        <v>36</v>
      </c>
      <c r="C17" s="5" t="s">
        <v>37</v>
      </c>
      <c r="D17" s="5" t="s">
        <v>38</v>
      </c>
      <c r="E17" s="6" t="n">
        <v>46195</v>
      </c>
      <c r="F17" s="7" t="n">
        <v>3</v>
      </c>
      <c r="G17" s="7" t="n">
        <v>111.5</v>
      </c>
      <c r="H17" s="7" t="n">
        <v>200</v>
      </c>
      <c r="I17" s="5" t="str">
        <f aca="false">IF(G17&gt;H17,"Over Limit","Normal")</f>
        <v>Normal</v>
      </c>
      <c r="J17" s="5" t="str">
        <f aca="false">IF(G17&gt;H17*1.4,"LEAK ALERT",IF(G17&gt;H17,"Warning","OK"))</f>
        <v>OK</v>
      </c>
      <c r="K17" s="7" t="n">
        <v>56</v>
      </c>
    </row>
    <row r="18" customFormat="false" ht="15" hidden="false" customHeight="false" outlineLevel="0" collapsed="false">
      <c r="A18" s="2" t="s">
        <v>39</v>
      </c>
      <c r="B18" s="2" t="s">
        <v>36</v>
      </c>
      <c r="C18" s="2" t="s">
        <v>37</v>
      </c>
      <c r="D18" s="2" t="s">
        <v>38</v>
      </c>
      <c r="E18" s="3" t="n">
        <v>46196</v>
      </c>
      <c r="F18" s="4" t="n">
        <v>3</v>
      </c>
      <c r="G18" s="4" t="n">
        <v>125.3</v>
      </c>
      <c r="H18" s="4" t="n">
        <v>200</v>
      </c>
      <c r="I18" s="2" t="str">
        <f aca="false">IF(G18&gt;H18,"Over Limit","Normal")</f>
        <v>Normal</v>
      </c>
      <c r="J18" s="2" t="str">
        <f aca="false">IF(G18&gt;H18*1.4,"LEAK ALERT",IF(G18&gt;H18,"Warning","OK"))</f>
        <v>OK</v>
      </c>
      <c r="K18" s="4" t="n">
        <v>88</v>
      </c>
    </row>
    <row r="19" customFormat="false" ht="15" hidden="false" customHeight="false" outlineLevel="0" collapsed="false">
      <c r="A19" s="5" t="s">
        <v>40</v>
      </c>
      <c r="B19" s="5" t="s">
        <v>36</v>
      </c>
      <c r="C19" s="5" t="s">
        <v>37</v>
      </c>
      <c r="D19" s="5" t="s">
        <v>38</v>
      </c>
      <c r="E19" s="6" t="n">
        <v>46197</v>
      </c>
      <c r="F19" s="7" t="n">
        <v>3</v>
      </c>
      <c r="G19" s="7" t="n">
        <v>107.1</v>
      </c>
      <c r="H19" s="7" t="n">
        <v>200</v>
      </c>
      <c r="I19" s="5" t="str">
        <f aca="false">IF(G19&gt;H19,"Over Limit","Normal")</f>
        <v>Normal</v>
      </c>
      <c r="J19" s="5" t="str">
        <f aca="false">IF(G19&gt;H19*1.4,"LEAK ALERT",IF(G19&gt;H19,"Warning","OK"))</f>
        <v>OK</v>
      </c>
      <c r="K19" s="7" t="n">
        <v>78</v>
      </c>
    </row>
    <row r="20" customFormat="false" ht="15" hidden="false" customHeight="false" outlineLevel="0" collapsed="false">
      <c r="A20" s="2" t="s">
        <v>41</v>
      </c>
      <c r="B20" s="2" t="s">
        <v>36</v>
      </c>
      <c r="C20" s="2" t="s">
        <v>37</v>
      </c>
      <c r="D20" s="2" t="s">
        <v>38</v>
      </c>
      <c r="E20" s="3" t="n">
        <v>46198</v>
      </c>
      <c r="F20" s="4" t="n">
        <v>3</v>
      </c>
      <c r="G20" s="4" t="n">
        <v>107.9</v>
      </c>
      <c r="H20" s="4" t="n">
        <v>200</v>
      </c>
      <c r="I20" s="2" t="str">
        <f aca="false">IF(G20&gt;H20,"Over Limit","Normal")</f>
        <v>Normal</v>
      </c>
      <c r="J20" s="2" t="str">
        <f aca="false">IF(G20&gt;H20*1.4,"LEAK ALERT",IF(G20&gt;H20,"Warning","OK"))</f>
        <v>OK</v>
      </c>
      <c r="K20" s="4" t="n">
        <v>64</v>
      </c>
    </row>
    <row r="21" customFormat="false" ht="15" hidden="false" customHeight="false" outlineLevel="0" collapsed="false">
      <c r="A21" s="5" t="s">
        <v>42</v>
      </c>
      <c r="B21" s="5" t="s">
        <v>36</v>
      </c>
      <c r="C21" s="5" t="s">
        <v>37</v>
      </c>
      <c r="D21" s="5" t="s">
        <v>38</v>
      </c>
      <c r="E21" s="6" t="n">
        <v>46199</v>
      </c>
      <c r="F21" s="7" t="n">
        <v>3</v>
      </c>
      <c r="G21" s="7" t="n">
        <v>134.6</v>
      </c>
      <c r="H21" s="7" t="n">
        <v>200</v>
      </c>
      <c r="I21" s="5" t="str">
        <f aca="false">IF(G21&gt;H21,"Over Limit","Normal")</f>
        <v>Normal</v>
      </c>
      <c r="J21" s="5" t="str">
        <f aca="false">IF(G21&gt;H21*1.4,"LEAK ALERT",IF(G21&gt;H21,"Warning","OK"))</f>
        <v>OK</v>
      </c>
      <c r="K21" s="7" t="n">
        <v>55</v>
      </c>
    </row>
    <row r="22" customFormat="false" ht="15" hidden="false" customHeight="false" outlineLevel="0" collapsed="false">
      <c r="A22" s="2" t="s">
        <v>43</v>
      </c>
      <c r="B22" s="2" t="s">
        <v>44</v>
      </c>
      <c r="C22" s="2" t="s">
        <v>13</v>
      </c>
      <c r="D22" s="2" t="s">
        <v>45</v>
      </c>
      <c r="E22" s="3" t="n">
        <v>46195</v>
      </c>
      <c r="F22" s="4" t="n">
        <v>3</v>
      </c>
      <c r="G22" s="4" t="n">
        <v>289.7</v>
      </c>
      <c r="H22" s="4" t="n">
        <v>190</v>
      </c>
      <c r="I22" s="2" t="str">
        <f aca="false">IF(G22&gt;H22,"Over Limit","Normal")</f>
        <v>Over Limit</v>
      </c>
      <c r="J22" s="2" t="str">
        <f aca="false">IF(G22&gt;H22*1.4,"LEAK ALERT",IF(G22&gt;H22,"Warning","OK"))</f>
        <v>LEAK ALERT</v>
      </c>
      <c r="K22" s="4" t="n">
        <v>72</v>
      </c>
    </row>
    <row r="23" customFormat="false" ht="15" hidden="false" customHeight="false" outlineLevel="0" collapsed="false">
      <c r="A23" s="5" t="s">
        <v>46</v>
      </c>
      <c r="B23" s="5" t="s">
        <v>44</v>
      </c>
      <c r="C23" s="5" t="s">
        <v>13</v>
      </c>
      <c r="D23" s="5" t="s">
        <v>45</v>
      </c>
      <c r="E23" s="6" t="n">
        <v>46196</v>
      </c>
      <c r="F23" s="7" t="n">
        <v>3</v>
      </c>
      <c r="G23" s="7" t="n">
        <v>166.4</v>
      </c>
      <c r="H23" s="7" t="n">
        <v>190</v>
      </c>
      <c r="I23" s="5" t="str">
        <f aca="false">IF(G23&gt;H23,"Over Limit","Normal")</f>
        <v>Normal</v>
      </c>
      <c r="J23" s="5" t="str">
        <f aca="false">IF(G23&gt;H23*1.4,"LEAK ALERT",IF(G23&gt;H23,"Warning","OK"))</f>
        <v>OK</v>
      </c>
      <c r="K23" s="7" t="n">
        <v>48</v>
      </c>
    </row>
    <row r="24" customFormat="false" ht="15" hidden="false" customHeight="false" outlineLevel="0" collapsed="false">
      <c r="A24" s="2" t="s">
        <v>47</v>
      </c>
      <c r="B24" s="2" t="s">
        <v>44</v>
      </c>
      <c r="C24" s="2" t="s">
        <v>13</v>
      </c>
      <c r="D24" s="2" t="s">
        <v>45</v>
      </c>
      <c r="E24" s="3" t="n">
        <v>46197</v>
      </c>
      <c r="F24" s="4" t="n">
        <v>3</v>
      </c>
      <c r="G24" s="4" t="n">
        <v>164.6</v>
      </c>
      <c r="H24" s="4" t="n">
        <v>190</v>
      </c>
      <c r="I24" s="2" t="str">
        <f aca="false">IF(G24&gt;H24,"Over Limit","Normal")</f>
        <v>Normal</v>
      </c>
      <c r="J24" s="2" t="str">
        <f aca="false">IF(G24&gt;H24*1.4,"LEAK ALERT",IF(G24&gt;H24,"Warning","OK"))</f>
        <v>OK</v>
      </c>
      <c r="K24" s="4" t="n">
        <v>50</v>
      </c>
    </row>
    <row r="25" customFormat="false" ht="15" hidden="false" customHeight="false" outlineLevel="0" collapsed="false">
      <c r="A25" s="5" t="s">
        <v>48</v>
      </c>
      <c r="B25" s="5" t="s">
        <v>44</v>
      </c>
      <c r="C25" s="5" t="s">
        <v>13</v>
      </c>
      <c r="D25" s="5" t="s">
        <v>45</v>
      </c>
      <c r="E25" s="6" t="n">
        <v>46198</v>
      </c>
      <c r="F25" s="7" t="n">
        <v>3</v>
      </c>
      <c r="G25" s="7" t="n">
        <v>137.5</v>
      </c>
      <c r="H25" s="7" t="n">
        <v>190</v>
      </c>
      <c r="I25" s="5" t="str">
        <f aca="false">IF(G25&gt;H25,"Over Limit","Normal")</f>
        <v>Normal</v>
      </c>
      <c r="J25" s="5" t="str">
        <f aca="false">IF(G25&gt;H25*1.4,"LEAK ALERT",IF(G25&gt;H25,"Warning","OK"))</f>
        <v>OK</v>
      </c>
      <c r="K25" s="7" t="n">
        <v>68</v>
      </c>
    </row>
    <row r="26" customFormat="false" ht="15" hidden="false" customHeight="false" outlineLevel="0" collapsed="false">
      <c r="A26" s="2" t="s">
        <v>49</v>
      </c>
      <c r="B26" s="2" t="s">
        <v>44</v>
      </c>
      <c r="C26" s="2" t="s">
        <v>13</v>
      </c>
      <c r="D26" s="2" t="s">
        <v>45</v>
      </c>
      <c r="E26" s="3" t="n">
        <v>46199</v>
      </c>
      <c r="F26" s="4" t="n">
        <v>3</v>
      </c>
      <c r="G26" s="4" t="n">
        <v>136.7</v>
      </c>
      <c r="H26" s="4" t="n">
        <v>190</v>
      </c>
      <c r="I26" s="2" t="str">
        <f aca="false">IF(G26&gt;H26,"Over Limit","Normal")</f>
        <v>Normal</v>
      </c>
      <c r="J26" s="2" t="str">
        <f aca="false">IF(G26&gt;H26*1.4,"LEAK ALERT",IF(G26&gt;H26,"Warning","OK"))</f>
        <v>OK</v>
      </c>
      <c r="K26" s="4" t="n">
        <v>79</v>
      </c>
    </row>
    <row r="27" customFormat="false" ht="15" hidden="false" customHeight="false" outlineLevel="0" collapsed="false">
      <c r="A27" s="5" t="s">
        <v>50</v>
      </c>
      <c r="B27" s="5" t="s">
        <v>51</v>
      </c>
      <c r="C27" s="5" t="s">
        <v>21</v>
      </c>
      <c r="D27" s="5" t="s">
        <v>52</v>
      </c>
      <c r="E27" s="6" t="n">
        <v>46195</v>
      </c>
      <c r="F27" s="7" t="n">
        <v>3</v>
      </c>
      <c r="G27" s="7" t="n">
        <v>331.3</v>
      </c>
      <c r="H27" s="7" t="n">
        <v>190</v>
      </c>
      <c r="I27" s="5" t="str">
        <f aca="false">IF(G27&gt;H27,"Over Limit","Normal")</f>
        <v>Over Limit</v>
      </c>
      <c r="J27" s="5" t="str">
        <f aca="false">IF(G27&gt;H27*1.4,"LEAK ALERT",IF(G27&gt;H27,"Warning","OK"))</f>
        <v>LEAK ALERT</v>
      </c>
      <c r="K27" s="7" t="n">
        <v>70</v>
      </c>
    </row>
    <row r="28" customFormat="false" ht="15" hidden="false" customHeight="false" outlineLevel="0" collapsed="false">
      <c r="A28" s="2" t="s">
        <v>53</v>
      </c>
      <c r="B28" s="2" t="s">
        <v>51</v>
      </c>
      <c r="C28" s="2" t="s">
        <v>21</v>
      </c>
      <c r="D28" s="2" t="s">
        <v>52</v>
      </c>
      <c r="E28" s="3" t="n">
        <v>46196</v>
      </c>
      <c r="F28" s="4" t="n">
        <v>3</v>
      </c>
      <c r="G28" s="4" t="n">
        <v>74.2</v>
      </c>
      <c r="H28" s="4" t="n">
        <v>190</v>
      </c>
      <c r="I28" s="2" t="str">
        <f aca="false">IF(G28&gt;H28,"Over Limit","Normal")</f>
        <v>Normal</v>
      </c>
      <c r="J28" s="2" t="str">
        <f aca="false">IF(G28&gt;H28*1.4,"LEAK ALERT",IF(G28&gt;H28,"Warning","OK"))</f>
        <v>OK</v>
      </c>
      <c r="K28" s="4" t="n">
        <v>96</v>
      </c>
    </row>
    <row r="29" customFormat="false" ht="15" hidden="false" customHeight="false" outlineLevel="0" collapsed="false">
      <c r="A29" s="5" t="s">
        <v>54</v>
      </c>
      <c r="B29" s="5" t="s">
        <v>51</v>
      </c>
      <c r="C29" s="5" t="s">
        <v>21</v>
      </c>
      <c r="D29" s="5" t="s">
        <v>52</v>
      </c>
      <c r="E29" s="6" t="n">
        <v>46197</v>
      </c>
      <c r="F29" s="7" t="n">
        <v>3</v>
      </c>
      <c r="G29" s="7" t="n">
        <v>101.8</v>
      </c>
      <c r="H29" s="7" t="n">
        <v>190</v>
      </c>
      <c r="I29" s="5" t="str">
        <f aca="false">IF(G29&gt;H29,"Over Limit","Normal")</f>
        <v>Normal</v>
      </c>
      <c r="J29" s="5" t="str">
        <f aca="false">IF(G29&gt;H29*1.4,"LEAK ALERT",IF(G29&gt;H29,"Warning","OK"))</f>
        <v>OK</v>
      </c>
      <c r="K29" s="7" t="n">
        <v>41</v>
      </c>
    </row>
    <row r="30" customFormat="false" ht="15" hidden="false" customHeight="false" outlineLevel="0" collapsed="false">
      <c r="A30" s="2" t="s">
        <v>55</v>
      </c>
      <c r="B30" s="2" t="s">
        <v>51</v>
      </c>
      <c r="C30" s="2" t="s">
        <v>21</v>
      </c>
      <c r="D30" s="2" t="s">
        <v>52</v>
      </c>
      <c r="E30" s="3" t="n">
        <v>46198</v>
      </c>
      <c r="F30" s="4" t="n">
        <v>3</v>
      </c>
      <c r="G30" s="4" t="n">
        <v>105.4</v>
      </c>
      <c r="H30" s="4" t="n">
        <v>190</v>
      </c>
      <c r="I30" s="2" t="str">
        <f aca="false">IF(G30&gt;H30,"Over Limit","Normal")</f>
        <v>Normal</v>
      </c>
      <c r="J30" s="2" t="str">
        <f aca="false">IF(G30&gt;H30*1.4,"LEAK ALERT",IF(G30&gt;H30,"Warning","OK"))</f>
        <v>OK</v>
      </c>
      <c r="K30" s="4" t="n">
        <v>97</v>
      </c>
    </row>
    <row r="31" customFormat="false" ht="15" hidden="false" customHeight="false" outlineLevel="0" collapsed="false">
      <c r="A31" s="5" t="s">
        <v>56</v>
      </c>
      <c r="B31" s="5" t="s">
        <v>51</v>
      </c>
      <c r="C31" s="5" t="s">
        <v>21</v>
      </c>
      <c r="D31" s="5" t="s">
        <v>52</v>
      </c>
      <c r="E31" s="6" t="n">
        <v>46199</v>
      </c>
      <c r="F31" s="7" t="n">
        <v>3</v>
      </c>
      <c r="G31" s="7" t="n">
        <v>102.3</v>
      </c>
      <c r="H31" s="7" t="n">
        <v>190</v>
      </c>
      <c r="I31" s="5" t="str">
        <f aca="false">IF(G31&gt;H31,"Over Limit","Normal")</f>
        <v>Normal</v>
      </c>
      <c r="J31" s="5" t="str">
        <f aca="false">IF(G31&gt;H31*1.4,"LEAK ALERT",IF(G31&gt;H31,"Warning","OK"))</f>
        <v>OK</v>
      </c>
      <c r="K31" s="7" t="n">
        <v>75</v>
      </c>
    </row>
    <row r="32" customFormat="false" ht="15" hidden="false" customHeight="false" outlineLevel="0" collapsed="false">
      <c r="A32" s="2" t="s">
        <v>57</v>
      </c>
      <c r="B32" s="2" t="s">
        <v>58</v>
      </c>
      <c r="C32" s="2" t="s">
        <v>29</v>
      </c>
      <c r="D32" s="2" t="s">
        <v>59</v>
      </c>
      <c r="E32" s="3" t="n">
        <v>46195</v>
      </c>
      <c r="F32" s="4" t="n">
        <v>2</v>
      </c>
      <c r="G32" s="4" t="n">
        <v>94.2</v>
      </c>
      <c r="H32" s="4" t="n">
        <v>120</v>
      </c>
      <c r="I32" s="2" t="str">
        <f aca="false">IF(G32&gt;H32,"Over Limit","Normal")</f>
        <v>Normal</v>
      </c>
      <c r="J32" s="2" t="str">
        <f aca="false">IF(G32&gt;H32*1.4,"LEAK ALERT",IF(G32&gt;H32,"Warning","OK"))</f>
        <v>OK</v>
      </c>
      <c r="K32" s="4" t="n">
        <v>59</v>
      </c>
    </row>
    <row r="33" customFormat="false" ht="15" hidden="false" customHeight="false" outlineLevel="0" collapsed="false">
      <c r="A33" s="5" t="s">
        <v>60</v>
      </c>
      <c r="B33" s="5" t="s">
        <v>58</v>
      </c>
      <c r="C33" s="5" t="s">
        <v>29</v>
      </c>
      <c r="D33" s="5" t="s">
        <v>59</v>
      </c>
      <c r="E33" s="6" t="n">
        <v>46196</v>
      </c>
      <c r="F33" s="7" t="n">
        <v>2</v>
      </c>
      <c r="G33" s="7" t="n">
        <v>82.9</v>
      </c>
      <c r="H33" s="7" t="n">
        <v>120</v>
      </c>
      <c r="I33" s="5" t="str">
        <f aca="false">IF(G33&gt;H33,"Over Limit","Normal")</f>
        <v>Normal</v>
      </c>
      <c r="J33" s="5" t="str">
        <f aca="false">IF(G33&gt;H33*1.4,"LEAK ALERT",IF(G33&gt;H33,"Warning","OK"))</f>
        <v>OK</v>
      </c>
      <c r="K33" s="7" t="n">
        <v>68</v>
      </c>
    </row>
    <row r="34" customFormat="false" ht="15" hidden="false" customHeight="false" outlineLevel="0" collapsed="false">
      <c r="A34" s="2" t="s">
        <v>61</v>
      </c>
      <c r="B34" s="2" t="s">
        <v>58</v>
      </c>
      <c r="C34" s="2" t="s">
        <v>29</v>
      </c>
      <c r="D34" s="2" t="s">
        <v>59</v>
      </c>
      <c r="E34" s="3" t="n">
        <v>46197</v>
      </c>
      <c r="F34" s="4" t="n">
        <v>2</v>
      </c>
      <c r="G34" s="4" t="n">
        <v>93.5</v>
      </c>
      <c r="H34" s="4" t="n">
        <v>120</v>
      </c>
      <c r="I34" s="2" t="str">
        <f aca="false">IF(G34&gt;H34,"Over Limit","Normal")</f>
        <v>Normal</v>
      </c>
      <c r="J34" s="2" t="str">
        <f aca="false">IF(G34&gt;H34*1.4,"LEAK ALERT",IF(G34&gt;H34,"Warning","OK"))</f>
        <v>OK</v>
      </c>
      <c r="K34" s="4" t="n">
        <v>87</v>
      </c>
    </row>
    <row r="35" customFormat="false" ht="15" hidden="false" customHeight="false" outlineLevel="0" collapsed="false">
      <c r="A35" s="5" t="s">
        <v>62</v>
      </c>
      <c r="B35" s="5" t="s">
        <v>58</v>
      </c>
      <c r="C35" s="5" t="s">
        <v>29</v>
      </c>
      <c r="D35" s="5" t="s">
        <v>59</v>
      </c>
      <c r="E35" s="6" t="n">
        <v>46198</v>
      </c>
      <c r="F35" s="7" t="n">
        <v>2</v>
      </c>
      <c r="G35" s="7" t="n">
        <v>93.8</v>
      </c>
      <c r="H35" s="7" t="n">
        <v>120</v>
      </c>
      <c r="I35" s="5" t="str">
        <f aca="false">IF(G35&gt;H35,"Over Limit","Normal")</f>
        <v>Normal</v>
      </c>
      <c r="J35" s="5" t="str">
        <f aca="false">IF(G35&gt;H35*1.4,"LEAK ALERT",IF(G35&gt;H35,"Warning","OK"))</f>
        <v>OK</v>
      </c>
      <c r="K35" s="7" t="n">
        <v>97</v>
      </c>
    </row>
    <row r="36" customFormat="false" ht="15" hidden="false" customHeight="false" outlineLevel="0" collapsed="false">
      <c r="A36" s="2" t="s">
        <v>63</v>
      </c>
      <c r="B36" s="2" t="s">
        <v>58</v>
      </c>
      <c r="C36" s="2" t="s">
        <v>29</v>
      </c>
      <c r="D36" s="2" t="s">
        <v>59</v>
      </c>
      <c r="E36" s="3" t="n">
        <v>46199</v>
      </c>
      <c r="F36" s="4" t="n">
        <v>2</v>
      </c>
      <c r="G36" s="4" t="n">
        <v>87.4</v>
      </c>
      <c r="H36" s="4" t="n">
        <v>120</v>
      </c>
      <c r="I36" s="2" t="str">
        <f aca="false">IF(G36&gt;H36,"Over Limit","Normal")</f>
        <v>Normal</v>
      </c>
      <c r="J36" s="2" t="str">
        <f aca="false">IF(G36&gt;H36*1.4,"LEAK ALERT",IF(G36&gt;H36,"Warning","OK"))</f>
        <v>OK</v>
      </c>
      <c r="K36" s="4" t="n">
        <v>89</v>
      </c>
    </row>
    <row r="37" customFormat="false" ht="15" hidden="false" customHeight="false" outlineLevel="0" collapsed="false">
      <c r="A37" s="5" t="s">
        <v>64</v>
      </c>
      <c r="B37" s="5" t="s">
        <v>65</v>
      </c>
      <c r="C37" s="5" t="s">
        <v>37</v>
      </c>
      <c r="D37" s="5" t="s">
        <v>66</v>
      </c>
      <c r="E37" s="6" t="n">
        <v>46195</v>
      </c>
      <c r="F37" s="7" t="n">
        <v>6</v>
      </c>
      <c r="G37" s="7" t="n">
        <v>148.9</v>
      </c>
      <c r="H37" s="7" t="n">
        <v>360</v>
      </c>
      <c r="I37" s="5" t="str">
        <f aca="false">IF(G37&gt;H37,"Over Limit","Normal")</f>
        <v>Normal</v>
      </c>
      <c r="J37" s="5" t="str">
        <f aca="false">IF(G37&gt;H37*1.4,"LEAK ALERT",IF(G37&gt;H37,"Warning","OK"))</f>
        <v>OK</v>
      </c>
      <c r="K37" s="7" t="n">
        <v>99</v>
      </c>
    </row>
    <row r="38" customFormat="false" ht="15" hidden="false" customHeight="false" outlineLevel="0" collapsed="false">
      <c r="A38" s="2" t="s">
        <v>67</v>
      </c>
      <c r="B38" s="2" t="s">
        <v>65</v>
      </c>
      <c r="C38" s="2" t="s">
        <v>37</v>
      </c>
      <c r="D38" s="2" t="s">
        <v>66</v>
      </c>
      <c r="E38" s="3" t="n">
        <v>46196</v>
      </c>
      <c r="F38" s="4" t="n">
        <v>6</v>
      </c>
      <c r="G38" s="4" t="n">
        <v>246</v>
      </c>
      <c r="H38" s="4" t="n">
        <v>360</v>
      </c>
      <c r="I38" s="2" t="str">
        <f aca="false">IF(G38&gt;H38,"Over Limit","Normal")</f>
        <v>Normal</v>
      </c>
      <c r="J38" s="2" t="str">
        <f aca="false">IF(G38&gt;H38*1.4,"LEAK ALERT",IF(G38&gt;H38,"Warning","OK"))</f>
        <v>OK</v>
      </c>
      <c r="K38" s="4" t="n">
        <v>94</v>
      </c>
    </row>
    <row r="39" customFormat="false" ht="15" hidden="false" customHeight="false" outlineLevel="0" collapsed="false">
      <c r="A39" s="5" t="s">
        <v>68</v>
      </c>
      <c r="B39" s="5" t="s">
        <v>65</v>
      </c>
      <c r="C39" s="5" t="s">
        <v>37</v>
      </c>
      <c r="D39" s="5" t="s">
        <v>66</v>
      </c>
      <c r="E39" s="6" t="n">
        <v>46197</v>
      </c>
      <c r="F39" s="7" t="n">
        <v>6</v>
      </c>
      <c r="G39" s="7" t="n">
        <v>239.9</v>
      </c>
      <c r="H39" s="7" t="n">
        <v>360</v>
      </c>
      <c r="I39" s="5" t="str">
        <f aca="false">IF(G39&gt;H39,"Over Limit","Normal")</f>
        <v>Normal</v>
      </c>
      <c r="J39" s="5" t="str">
        <f aca="false">IF(G39&gt;H39*1.4,"LEAK ALERT",IF(G39&gt;H39,"Warning","OK"))</f>
        <v>OK</v>
      </c>
      <c r="K39" s="7" t="n">
        <v>81</v>
      </c>
    </row>
    <row r="40" customFormat="false" ht="15" hidden="false" customHeight="false" outlineLevel="0" collapsed="false">
      <c r="A40" s="2" t="s">
        <v>69</v>
      </c>
      <c r="B40" s="2" t="s">
        <v>65</v>
      </c>
      <c r="C40" s="2" t="s">
        <v>37</v>
      </c>
      <c r="D40" s="2" t="s">
        <v>66</v>
      </c>
      <c r="E40" s="3" t="n">
        <v>46198</v>
      </c>
      <c r="F40" s="4" t="n">
        <v>6</v>
      </c>
      <c r="G40" s="4" t="n">
        <v>199.9</v>
      </c>
      <c r="H40" s="4" t="n">
        <v>360</v>
      </c>
      <c r="I40" s="2" t="str">
        <f aca="false">IF(G40&gt;H40,"Over Limit","Normal")</f>
        <v>Normal</v>
      </c>
      <c r="J40" s="2" t="str">
        <f aca="false">IF(G40&gt;H40*1.4,"LEAK ALERT",IF(G40&gt;H40,"Warning","OK"))</f>
        <v>OK</v>
      </c>
      <c r="K40" s="4" t="n">
        <v>64</v>
      </c>
    </row>
    <row r="41" customFormat="false" ht="15" hidden="false" customHeight="false" outlineLevel="0" collapsed="false">
      <c r="A41" s="5" t="s">
        <v>70</v>
      </c>
      <c r="B41" s="5" t="s">
        <v>65</v>
      </c>
      <c r="C41" s="5" t="s">
        <v>37</v>
      </c>
      <c r="D41" s="5" t="s">
        <v>66</v>
      </c>
      <c r="E41" s="6" t="n">
        <v>46199</v>
      </c>
      <c r="F41" s="7" t="n">
        <v>6</v>
      </c>
      <c r="G41" s="7" t="n">
        <v>216.5</v>
      </c>
      <c r="H41" s="7" t="n">
        <v>360</v>
      </c>
      <c r="I41" s="5" t="str">
        <f aca="false">IF(G41&gt;H41,"Over Limit","Normal")</f>
        <v>Normal</v>
      </c>
      <c r="J41" s="5" t="str">
        <f aca="false">IF(G41&gt;H41*1.4,"LEAK ALERT",IF(G41&gt;H41,"Warning","OK"))</f>
        <v>OK</v>
      </c>
      <c r="K41" s="7" t="n">
        <v>89</v>
      </c>
    </row>
    <row r="42" customFormat="false" ht="15" hidden="false" customHeight="false" outlineLevel="0" collapsed="false">
      <c r="A42" s="2" t="s">
        <v>71</v>
      </c>
      <c r="B42" s="2" t="s">
        <v>72</v>
      </c>
      <c r="C42" s="2" t="s">
        <v>13</v>
      </c>
      <c r="D42" s="2" t="s">
        <v>73</v>
      </c>
      <c r="E42" s="3" t="n">
        <v>46195</v>
      </c>
      <c r="F42" s="4" t="n">
        <v>2</v>
      </c>
      <c r="G42" s="4" t="n">
        <v>98</v>
      </c>
      <c r="H42" s="4" t="n">
        <v>130</v>
      </c>
      <c r="I42" s="2" t="str">
        <f aca="false">IF(G42&gt;H42,"Over Limit","Normal")</f>
        <v>Normal</v>
      </c>
      <c r="J42" s="2" t="str">
        <f aca="false">IF(G42&gt;H42*1.4,"LEAK ALERT",IF(G42&gt;H42,"Warning","OK"))</f>
        <v>OK</v>
      </c>
      <c r="K42" s="4" t="n">
        <v>99</v>
      </c>
    </row>
    <row r="43" customFormat="false" ht="15" hidden="false" customHeight="false" outlineLevel="0" collapsed="false">
      <c r="A43" s="5" t="s">
        <v>74</v>
      </c>
      <c r="B43" s="5" t="s">
        <v>72</v>
      </c>
      <c r="C43" s="5" t="s">
        <v>13</v>
      </c>
      <c r="D43" s="5" t="s">
        <v>73</v>
      </c>
      <c r="E43" s="6" t="n">
        <v>46196</v>
      </c>
      <c r="F43" s="7" t="n">
        <v>2</v>
      </c>
      <c r="G43" s="7" t="n">
        <v>182.1</v>
      </c>
      <c r="H43" s="7" t="n">
        <v>130</v>
      </c>
      <c r="I43" s="5" t="str">
        <f aca="false">IF(G43&gt;H43,"Over Limit","Normal")</f>
        <v>Over Limit</v>
      </c>
      <c r="J43" s="5" t="str">
        <f aca="false">IF(G43&gt;H43*1.4,"LEAK ALERT",IF(G43&gt;H43,"Warning","OK"))</f>
        <v>LEAK ALERT</v>
      </c>
      <c r="K43" s="7" t="n">
        <v>61</v>
      </c>
    </row>
    <row r="44" customFormat="false" ht="15" hidden="false" customHeight="false" outlineLevel="0" collapsed="false">
      <c r="A44" s="2" t="s">
        <v>75</v>
      </c>
      <c r="B44" s="2" t="s">
        <v>72</v>
      </c>
      <c r="C44" s="2" t="s">
        <v>13</v>
      </c>
      <c r="D44" s="2" t="s">
        <v>73</v>
      </c>
      <c r="E44" s="3" t="n">
        <v>46197</v>
      </c>
      <c r="F44" s="4" t="n">
        <v>2</v>
      </c>
      <c r="G44" s="4" t="n">
        <v>71.7</v>
      </c>
      <c r="H44" s="4" t="n">
        <v>130</v>
      </c>
      <c r="I44" s="2" t="str">
        <f aca="false">IF(G44&gt;H44,"Over Limit","Normal")</f>
        <v>Normal</v>
      </c>
      <c r="J44" s="2" t="str">
        <f aca="false">IF(G44&gt;H44*1.4,"LEAK ALERT",IF(G44&gt;H44,"Warning","OK"))</f>
        <v>OK</v>
      </c>
      <c r="K44" s="4" t="n">
        <v>72</v>
      </c>
    </row>
    <row r="45" customFormat="false" ht="15" hidden="false" customHeight="false" outlineLevel="0" collapsed="false">
      <c r="A45" s="5" t="s">
        <v>76</v>
      </c>
      <c r="B45" s="5" t="s">
        <v>72</v>
      </c>
      <c r="C45" s="5" t="s">
        <v>13</v>
      </c>
      <c r="D45" s="5" t="s">
        <v>73</v>
      </c>
      <c r="E45" s="6" t="n">
        <v>46198</v>
      </c>
      <c r="F45" s="7" t="n">
        <v>2</v>
      </c>
      <c r="G45" s="7" t="n">
        <v>99.1</v>
      </c>
      <c r="H45" s="7" t="n">
        <v>130</v>
      </c>
      <c r="I45" s="5" t="str">
        <f aca="false">IF(G45&gt;H45,"Over Limit","Normal")</f>
        <v>Normal</v>
      </c>
      <c r="J45" s="5" t="str">
        <f aca="false">IF(G45&gt;H45*1.4,"LEAK ALERT",IF(G45&gt;H45,"Warning","OK"))</f>
        <v>OK</v>
      </c>
      <c r="K45" s="7" t="n">
        <v>97</v>
      </c>
    </row>
    <row r="46" customFormat="false" ht="15" hidden="false" customHeight="false" outlineLevel="0" collapsed="false">
      <c r="A46" s="2" t="s">
        <v>77</v>
      </c>
      <c r="B46" s="2" t="s">
        <v>72</v>
      </c>
      <c r="C46" s="2" t="s">
        <v>13</v>
      </c>
      <c r="D46" s="2" t="s">
        <v>73</v>
      </c>
      <c r="E46" s="3" t="n">
        <v>46199</v>
      </c>
      <c r="F46" s="4" t="n">
        <v>2</v>
      </c>
      <c r="G46" s="4" t="n">
        <v>80.4</v>
      </c>
      <c r="H46" s="4" t="n">
        <v>130</v>
      </c>
      <c r="I46" s="2" t="str">
        <f aca="false">IF(G46&gt;H46,"Over Limit","Normal")</f>
        <v>Normal</v>
      </c>
      <c r="J46" s="2" t="str">
        <f aca="false">IF(G46&gt;H46*1.4,"LEAK ALERT",IF(G46&gt;H46,"Warning","OK"))</f>
        <v>OK</v>
      </c>
      <c r="K46" s="4" t="n">
        <v>94</v>
      </c>
    </row>
    <row r="47" customFormat="false" ht="15" hidden="false" customHeight="false" outlineLevel="0" collapsed="false">
      <c r="A47" s="5" t="s">
        <v>78</v>
      </c>
      <c r="B47" s="5" t="s">
        <v>79</v>
      </c>
      <c r="C47" s="5" t="s">
        <v>21</v>
      </c>
      <c r="D47" s="5" t="s">
        <v>80</v>
      </c>
      <c r="E47" s="6" t="n">
        <v>46195</v>
      </c>
      <c r="F47" s="7" t="n">
        <v>6</v>
      </c>
      <c r="G47" s="7" t="n">
        <v>278.8</v>
      </c>
      <c r="H47" s="7" t="n">
        <v>350</v>
      </c>
      <c r="I47" s="5" t="str">
        <f aca="false">IF(G47&gt;H47,"Over Limit","Normal")</f>
        <v>Normal</v>
      </c>
      <c r="J47" s="5" t="str">
        <f aca="false">IF(G47&gt;H47*1.4,"LEAK ALERT",IF(G47&gt;H47,"Warning","OK"))</f>
        <v>OK</v>
      </c>
      <c r="K47" s="7" t="n">
        <v>77</v>
      </c>
    </row>
    <row r="48" customFormat="false" ht="15" hidden="false" customHeight="false" outlineLevel="0" collapsed="false">
      <c r="A48" s="2" t="s">
        <v>81</v>
      </c>
      <c r="B48" s="2" t="s">
        <v>79</v>
      </c>
      <c r="C48" s="2" t="s">
        <v>21</v>
      </c>
      <c r="D48" s="2" t="s">
        <v>80</v>
      </c>
      <c r="E48" s="3" t="n">
        <v>46196</v>
      </c>
      <c r="F48" s="4" t="n">
        <v>6</v>
      </c>
      <c r="G48" s="4" t="n">
        <v>301.9</v>
      </c>
      <c r="H48" s="4" t="n">
        <v>350</v>
      </c>
      <c r="I48" s="2" t="str">
        <f aca="false">IF(G48&gt;H48,"Over Limit","Normal")</f>
        <v>Normal</v>
      </c>
      <c r="J48" s="2" t="str">
        <f aca="false">IF(G48&gt;H48*1.4,"LEAK ALERT",IF(G48&gt;H48,"Warning","OK"))</f>
        <v>OK</v>
      </c>
      <c r="K48" s="4" t="n">
        <v>46</v>
      </c>
    </row>
    <row r="49" customFormat="false" ht="15" hidden="false" customHeight="false" outlineLevel="0" collapsed="false">
      <c r="A49" s="5" t="s">
        <v>82</v>
      </c>
      <c r="B49" s="5" t="s">
        <v>79</v>
      </c>
      <c r="C49" s="5" t="s">
        <v>21</v>
      </c>
      <c r="D49" s="5" t="s">
        <v>80</v>
      </c>
      <c r="E49" s="6" t="n">
        <v>46197</v>
      </c>
      <c r="F49" s="7" t="n">
        <v>6</v>
      </c>
      <c r="G49" s="7" t="n">
        <v>310.2</v>
      </c>
      <c r="H49" s="7" t="n">
        <v>350</v>
      </c>
      <c r="I49" s="5" t="str">
        <f aca="false">IF(G49&gt;H49,"Over Limit","Normal")</f>
        <v>Normal</v>
      </c>
      <c r="J49" s="5" t="str">
        <f aca="false">IF(G49&gt;H49*1.4,"LEAK ALERT",IF(G49&gt;H49,"Warning","OK"))</f>
        <v>OK</v>
      </c>
      <c r="K49" s="7" t="n">
        <v>45</v>
      </c>
    </row>
    <row r="50" customFormat="false" ht="15" hidden="false" customHeight="false" outlineLevel="0" collapsed="false">
      <c r="A50" s="2" t="s">
        <v>83</v>
      </c>
      <c r="B50" s="2" t="s">
        <v>79</v>
      </c>
      <c r="C50" s="2" t="s">
        <v>21</v>
      </c>
      <c r="D50" s="2" t="s">
        <v>80</v>
      </c>
      <c r="E50" s="3" t="n">
        <v>46198</v>
      </c>
      <c r="F50" s="4" t="n">
        <v>6</v>
      </c>
      <c r="G50" s="4" t="n">
        <v>296.9</v>
      </c>
      <c r="H50" s="4" t="n">
        <v>350</v>
      </c>
      <c r="I50" s="2" t="str">
        <f aca="false">IF(G50&gt;H50,"Over Limit","Normal")</f>
        <v>Normal</v>
      </c>
      <c r="J50" s="2" t="str">
        <f aca="false">IF(G50&gt;H50*1.4,"LEAK ALERT",IF(G50&gt;H50,"Warning","OK"))</f>
        <v>OK</v>
      </c>
      <c r="K50" s="4" t="n">
        <v>89</v>
      </c>
    </row>
    <row r="51" customFormat="false" ht="15" hidden="false" customHeight="false" outlineLevel="0" collapsed="false">
      <c r="A51" s="5" t="s">
        <v>84</v>
      </c>
      <c r="B51" s="5" t="s">
        <v>79</v>
      </c>
      <c r="C51" s="5" t="s">
        <v>21</v>
      </c>
      <c r="D51" s="5" t="s">
        <v>80</v>
      </c>
      <c r="E51" s="6" t="n">
        <v>46199</v>
      </c>
      <c r="F51" s="7" t="n">
        <v>6</v>
      </c>
      <c r="G51" s="7" t="n">
        <v>260.3</v>
      </c>
      <c r="H51" s="7" t="n">
        <v>350</v>
      </c>
      <c r="I51" s="5" t="str">
        <f aca="false">IF(G51&gt;H51,"Over Limit","Normal")</f>
        <v>Normal</v>
      </c>
      <c r="J51" s="5" t="str">
        <f aca="false">IF(G51&gt;H51*1.4,"LEAK ALERT",IF(G51&gt;H51,"Warning","OK"))</f>
        <v>OK</v>
      </c>
      <c r="K51" s="7" t="n">
        <v>83</v>
      </c>
    </row>
    <row r="52" customFormat="false" ht="15" hidden="false" customHeight="false" outlineLevel="0" collapsed="false">
      <c r="A52" s="2" t="s">
        <v>85</v>
      </c>
      <c r="B52" s="2" t="s">
        <v>86</v>
      </c>
      <c r="C52" s="2" t="s">
        <v>29</v>
      </c>
      <c r="D52" s="2" t="s">
        <v>87</v>
      </c>
      <c r="E52" s="3" t="n">
        <v>46195</v>
      </c>
      <c r="F52" s="4" t="n">
        <v>5</v>
      </c>
      <c r="G52" s="4" t="n">
        <v>198.3</v>
      </c>
      <c r="H52" s="4" t="n">
        <v>290</v>
      </c>
      <c r="I52" s="2" t="str">
        <f aca="false">IF(G52&gt;H52,"Over Limit","Normal")</f>
        <v>Normal</v>
      </c>
      <c r="J52" s="2" t="str">
        <f aca="false">IF(G52&gt;H52*1.4,"LEAK ALERT",IF(G52&gt;H52,"Warning","OK"))</f>
        <v>OK</v>
      </c>
      <c r="K52" s="4" t="n">
        <v>76</v>
      </c>
    </row>
    <row r="53" customFormat="false" ht="15" hidden="false" customHeight="false" outlineLevel="0" collapsed="false">
      <c r="A53" s="5" t="s">
        <v>88</v>
      </c>
      <c r="B53" s="5" t="s">
        <v>86</v>
      </c>
      <c r="C53" s="5" t="s">
        <v>29</v>
      </c>
      <c r="D53" s="5" t="s">
        <v>87</v>
      </c>
      <c r="E53" s="6" t="n">
        <v>46196</v>
      </c>
      <c r="F53" s="7" t="n">
        <v>5</v>
      </c>
      <c r="G53" s="7" t="n">
        <v>215.9</v>
      </c>
      <c r="H53" s="7" t="n">
        <v>290</v>
      </c>
      <c r="I53" s="5" t="str">
        <f aca="false">IF(G53&gt;H53,"Over Limit","Normal")</f>
        <v>Normal</v>
      </c>
      <c r="J53" s="5" t="str">
        <f aca="false">IF(G53&gt;H53*1.4,"LEAK ALERT",IF(G53&gt;H53,"Warning","OK"))</f>
        <v>OK</v>
      </c>
      <c r="K53" s="7" t="n">
        <v>79</v>
      </c>
    </row>
    <row r="54" customFormat="false" ht="15" hidden="false" customHeight="false" outlineLevel="0" collapsed="false">
      <c r="A54" s="2" t="s">
        <v>89</v>
      </c>
      <c r="B54" s="2" t="s">
        <v>86</v>
      </c>
      <c r="C54" s="2" t="s">
        <v>29</v>
      </c>
      <c r="D54" s="2" t="s">
        <v>87</v>
      </c>
      <c r="E54" s="3" t="n">
        <v>46197</v>
      </c>
      <c r="F54" s="4" t="n">
        <v>5</v>
      </c>
      <c r="G54" s="4" t="n">
        <v>226.3</v>
      </c>
      <c r="H54" s="4" t="n">
        <v>290</v>
      </c>
      <c r="I54" s="2" t="str">
        <f aca="false">IF(G54&gt;H54,"Over Limit","Normal")</f>
        <v>Normal</v>
      </c>
      <c r="J54" s="2" t="str">
        <f aca="false">IF(G54&gt;H54*1.4,"LEAK ALERT",IF(G54&gt;H54,"Warning","OK"))</f>
        <v>OK</v>
      </c>
      <c r="K54" s="4" t="n">
        <v>68</v>
      </c>
    </row>
    <row r="55" customFormat="false" ht="15" hidden="false" customHeight="false" outlineLevel="0" collapsed="false">
      <c r="A55" s="5" t="s">
        <v>90</v>
      </c>
      <c r="B55" s="5" t="s">
        <v>86</v>
      </c>
      <c r="C55" s="5" t="s">
        <v>29</v>
      </c>
      <c r="D55" s="5" t="s">
        <v>87</v>
      </c>
      <c r="E55" s="6" t="n">
        <v>46198</v>
      </c>
      <c r="F55" s="7" t="n">
        <v>5</v>
      </c>
      <c r="G55" s="7" t="n">
        <v>657.7</v>
      </c>
      <c r="H55" s="7" t="n">
        <v>290</v>
      </c>
      <c r="I55" s="5" t="str">
        <f aca="false">IF(G55&gt;H55,"Over Limit","Normal")</f>
        <v>Over Limit</v>
      </c>
      <c r="J55" s="5" t="str">
        <f aca="false">IF(G55&gt;H55*1.4,"LEAK ALERT",IF(G55&gt;H55,"Warning","OK"))</f>
        <v>LEAK ALERT</v>
      </c>
      <c r="K55" s="7" t="n">
        <v>100</v>
      </c>
    </row>
    <row r="56" customFormat="false" ht="15" hidden="false" customHeight="false" outlineLevel="0" collapsed="false">
      <c r="A56" s="2" t="s">
        <v>91</v>
      </c>
      <c r="B56" s="2" t="s">
        <v>86</v>
      </c>
      <c r="C56" s="2" t="s">
        <v>29</v>
      </c>
      <c r="D56" s="2" t="s">
        <v>87</v>
      </c>
      <c r="E56" s="3" t="n">
        <v>46199</v>
      </c>
      <c r="F56" s="4" t="n">
        <v>5</v>
      </c>
      <c r="G56" s="4" t="n">
        <v>163</v>
      </c>
      <c r="H56" s="4" t="n">
        <v>290</v>
      </c>
      <c r="I56" s="2" t="str">
        <f aca="false">IF(G56&gt;H56,"Over Limit","Normal")</f>
        <v>Normal</v>
      </c>
      <c r="J56" s="2" t="str">
        <f aca="false">IF(G56&gt;H56*1.4,"LEAK ALERT",IF(G56&gt;H56,"Warning","OK"))</f>
        <v>OK</v>
      </c>
      <c r="K56" s="4" t="n">
        <v>53</v>
      </c>
    </row>
    <row r="57" customFormat="false" ht="15" hidden="false" customHeight="false" outlineLevel="0" collapsed="false">
      <c r="A57" s="5" t="s">
        <v>92</v>
      </c>
      <c r="B57" s="5" t="s">
        <v>93</v>
      </c>
      <c r="C57" s="5" t="s">
        <v>37</v>
      </c>
      <c r="D57" s="5" t="s">
        <v>94</v>
      </c>
      <c r="E57" s="6" t="n">
        <v>46195</v>
      </c>
      <c r="F57" s="7" t="n">
        <v>2</v>
      </c>
      <c r="G57" s="7" t="n">
        <v>101.9</v>
      </c>
      <c r="H57" s="7" t="n">
        <v>140</v>
      </c>
      <c r="I57" s="5" t="str">
        <f aca="false">IF(G57&gt;H57,"Over Limit","Normal")</f>
        <v>Normal</v>
      </c>
      <c r="J57" s="5" t="str">
        <f aca="false">IF(G57&gt;H57*1.4,"LEAK ALERT",IF(G57&gt;H57,"Warning","OK"))</f>
        <v>OK</v>
      </c>
      <c r="K57" s="7" t="n">
        <v>66</v>
      </c>
    </row>
    <row r="58" customFormat="false" ht="15" hidden="false" customHeight="false" outlineLevel="0" collapsed="false">
      <c r="A58" s="2" t="s">
        <v>95</v>
      </c>
      <c r="B58" s="2" t="s">
        <v>93</v>
      </c>
      <c r="C58" s="2" t="s">
        <v>37</v>
      </c>
      <c r="D58" s="2" t="s">
        <v>94</v>
      </c>
      <c r="E58" s="3" t="n">
        <v>46196</v>
      </c>
      <c r="F58" s="4" t="n">
        <v>2</v>
      </c>
      <c r="G58" s="4" t="n">
        <v>125.5</v>
      </c>
      <c r="H58" s="4" t="n">
        <v>140</v>
      </c>
      <c r="I58" s="2" t="str">
        <f aca="false">IF(G58&gt;H58,"Over Limit","Normal")</f>
        <v>Normal</v>
      </c>
      <c r="J58" s="2" t="str">
        <f aca="false">IF(G58&gt;H58*1.4,"LEAK ALERT",IF(G58&gt;H58,"Warning","OK"))</f>
        <v>OK</v>
      </c>
      <c r="K58" s="4" t="n">
        <v>69</v>
      </c>
    </row>
    <row r="59" customFormat="false" ht="15" hidden="false" customHeight="false" outlineLevel="0" collapsed="false">
      <c r="A59" s="5" t="s">
        <v>96</v>
      </c>
      <c r="B59" s="5" t="s">
        <v>93</v>
      </c>
      <c r="C59" s="5" t="s">
        <v>37</v>
      </c>
      <c r="D59" s="5" t="s">
        <v>94</v>
      </c>
      <c r="E59" s="6" t="n">
        <v>46197</v>
      </c>
      <c r="F59" s="7" t="n">
        <v>2</v>
      </c>
      <c r="G59" s="7" t="n">
        <v>106.4</v>
      </c>
      <c r="H59" s="7" t="n">
        <v>140</v>
      </c>
      <c r="I59" s="5" t="str">
        <f aca="false">IF(G59&gt;H59,"Over Limit","Normal")</f>
        <v>Normal</v>
      </c>
      <c r="J59" s="5" t="str">
        <f aca="false">IF(G59&gt;H59*1.4,"LEAK ALERT",IF(G59&gt;H59,"Warning","OK"))</f>
        <v>OK</v>
      </c>
      <c r="K59" s="7" t="n">
        <v>98</v>
      </c>
    </row>
    <row r="60" customFormat="false" ht="15" hidden="false" customHeight="false" outlineLevel="0" collapsed="false">
      <c r="A60" s="2" t="s">
        <v>97</v>
      </c>
      <c r="B60" s="2" t="s">
        <v>93</v>
      </c>
      <c r="C60" s="2" t="s">
        <v>37</v>
      </c>
      <c r="D60" s="2" t="s">
        <v>94</v>
      </c>
      <c r="E60" s="3" t="n">
        <v>46198</v>
      </c>
      <c r="F60" s="4" t="n">
        <v>2</v>
      </c>
      <c r="G60" s="4" t="n">
        <v>261.2</v>
      </c>
      <c r="H60" s="4" t="n">
        <v>140</v>
      </c>
      <c r="I60" s="2" t="str">
        <f aca="false">IF(G60&gt;H60,"Over Limit","Normal")</f>
        <v>Over Limit</v>
      </c>
      <c r="J60" s="2" t="str">
        <f aca="false">IF(G60&gt;H60*1.4,"LEAK ALERT",IF(G60&gt;H60,"Warning","OK"))</f>
        <v>LEAK ALERT</v>
      </c>
      <c r="K60" s="4" t="n">
        <v>48</v>
      </c>
    </row>
    <row r="61" customFormat="false" ht="15" hidden="false" customHeight="false" outlineLevel="0" collapsed="false">
      <c r="A61" s="5" t="s">
        <v>98</v>
      </c>
      <c r="B61" s="5" t="s">
        <v>93</v>
      </c>
      <c r="C61" s="5" t="s">
        <v>37</v>
      </c>
      <c r="D61" s="5" t="s">
        <v>94</v>
      </c>
      <c r="E61" s="6" t="n">
        <v>46199</v>
      </c>
      <c r="F61" s="7" t="n">
        <v>2</v>
      </c>
      <c r="G61" s="7" t="n">
        <v>227.2</v>
      </c>
      <c r="H61" s="7" t="n">
        <v>140</v>
      </c>
      <c r="I61" s="5" t="str">
        <f aca="false">IF(G61&gt;H61,"Over Limit","Normal")</f>
        <v>Over Limit</v>
      </c>
      <c r="J61" s="5" t="str">
        <f aca="false">IF(G61&gt;H61*1.4,"LEAK ALERT",IF(G61&gt;H61,"Warning","OK"))</f>
        <v>LEAK ALERT</v>
      </c>
      <c r="K61" s="7" t="n">
        <v>45</v>
      </c>
    </row>
    <row r="62" customFormat="false" ht="15" hidden="false" customHeight="false" outlineLevel="0" collapsed="false">
      <c r="A62" s="2" t="s">
        <v>99</v>
      </c>
      <c r="B62" s="2" t="s">
        <v>100</v>
      </c>
      <c r="C62" s="2" t="s">
        <v>13</v>
      </c>
      <c r="D62" s="2" t="s">
        <v>101</v>
      </c>
      <c r="E62" s="3" t="n">
        <v>46195</v>
      </c>
      <c r="F62" s="4" t="n">
        <v>2</v>
      </c>
      <c r="G62" s="4" t="n">
        <v>66.4</v>
      </c>
      <c r="H62" s="4" t="n">
        <v>110</v>
      </c>
      <c r="I62" s="2" t="str">
        <f aca="false">IF(G62&gt;H62,"Over Limit","Normal")</f>
        <v>Normal</v>
      </c>
      <c r="J62" s="2" t="str">
        <f aca="false">IF(G62&gt;H62*1.4,"LEAK ALERT",IF(G62&gt;H62,"Warning","OK"))</f>
        <v>OK</v>
      </c>
      <c r="K62" s="4" t="n">
        <v>55</v>
      </c>
    </row>
    <row r="63" customFormat="false" ht="15" hidden="false" customHeight="false" outlineLevel="0" collapsed="false">
      <c r="A63" s="5" t="s">
        <v>102</v>
      </c>
      <c r="B63" s="5" t="s">
        <v>100</v>
      </c>
      <c r="C63" s="5" t="s">
        <v>13</v>
      </c>
      <c r="D63" s="5" t="s">
        <v>101</v>
      </c>
      <c r="E63" s="6" t="n">
        <v>46196</v>
      </c>
      <c r="F63" s="7" t="n">
        <v>2</v>
      </c>
      <c r="G63" s="7" t="n">
        <v>68.4</v>
      </c>
      <c r="H63" s="7" t="n">
        <v>110</v>
      </c>
      <c r="I63" s="5" t="str">
        <f aca="false">IF(G63&gt;H63,"Over Limit","Normal")</f>
        <v>Normal</v>
      </c>
      <c r="J63" s="5" t="str">
        <f aca="false">IF(G63&gt;H63*1.4,"LEAK ALERT",IF(G63&gt;H63,"Warning","OK"))</f>
        <v>OK</v>
      </c>
      <c r="K63" s="7" t="n">
        <v>41</v>
      </c>
    </row>
    <row r="64" customFormat="false" ht="15" hidden="false" customHeight="false" outlineLevel="0" collapsed="false">
      <c r="A64" s="2" t="s">
        <v>103</v>
      </c>
      <c r="B64" s="2" t="s">
        <v>100</v>
      </c>
      <c r="C64" s="2" t="s">
        <v>13</v>
      </c>
      <c r="D64" s="2" t="s">
        <v>101</v>
      </c>
      <c r="E64" s="3" t="n">
        <v>46197</v>
      </c>
      <c r="F64" s="4" t="n">
        <v>2</v>
      </c>
      <c r="G64" s="4" t="n">
        <v>82.6</v>
      </c>
      <c r="H64" s="4" t="n">
        <v>110</v>
      </c>
      <c r="I64" s="2" t="str">
        <f aca="false">IF(G64&gt;H64,"Over Limit","Normal")</f>
        <v>Normal</v>
      </c>
      <c r="J64" s="2" t="str">
        <f aca="false">IF(G64&gt;H64*1.4,"LEAK ALERT",IF(G64&gt;H64,"Warning","OK"))</f>
        <v>OK</v>
      </c>
      <c r="K64" s="4" t="n">
        <v>55</v>
      </c>
    </row>
    <row r="65" customFormat="false" ht="15" hidden="false" customHeight="false" outlineLevel="0" collapsed="false">
      <c r="A65" s="5" t="s">
        <v>104</v>
      </c>
      <c r="B65" s="5" t="s">
        <v>100</v>
      </c>
      <c r="C65" s="5" t="s">
        <v>13</v>
      </c>
      <c r="D65" s="5" t="s">
        <v>101</v>
      </c>
      <c r="E65" s="6" t="n">
        <v>46198</v>
      </c>
      <c r="F65" s="7" t="n">
        <v>2</v>
      </c>
      <c r="G65" s="7" t="n">
        <v>76.9</v>
      </c>
      <c r="H65" s="7" t="n">
        <v>110</v>
      </c>
      <c r="I65" s="5" t="str">
        <f aca="false">IF(G65&gt;H65,"Over Limit","Normal")</f>
        <v>Normal</v>
      </c>
      <c r="J65" s="5" t="str">
        <f aca="false">IF(G65&gt;H65*1.4,"LEAK ALERT",IF(G65&gt;H65,"Warning","OK"))</f>
        <v>OK</v>
      </c>
      <c r="K65" s="7" t="n">
        <v>45</v>
      </c>
    </row>
    <row r="66" customFormat="false" ht="15" hidden="false" customHeight="false" outlineLevel="0" collapsed="false">
      <c r="A66" s="2" t="s">
        <v>105</v>
      </c>
      <c r="B66" s="2" t="s">
        <v>100</v>
      </c>
      <c r="C66" s="2" t="s">
        <v>13</v>
      </c>
      <c r="D66" s="2" t="s">
        <v>101</v>
      </c>
      <c r="E66" s="3" t="n">
        <v>46199</v>
      </c>
      <c r="F66" s="4" t="n">
        <v>2</v>
      </c>
      <c r="G66" s="4" t="n">
        <v>85.8</v>
      </c>
      <c r="H66" s="4" t="n">
        <v>110</v>
      </c>
      <c r="I66" s="2" t="str">
        <f aca="false">IF(G66&gt;H66,"Over Limit","Normal")</f>
        <v>Normal</v>
      </c>
      <c r="J66" s="2" t="str">
        <f aca="false">IF(G66&gt;H66*1.4,"LEAK ALERT",IF(G66&gt;H66,"Warning","OK"))</f>
        <v>OK</v>
      </c>
      <c r="K66" s="4" t="n">
        <v>45</v>
      </c>
    </row>
    <row r="67" customFormat="false" ht="15" hidden="false" customHeight="false" outlineLevel="0" collapsed="false">
      <c r="A67" s="5" t="s">
        <v>106</v>
      </c>
      <c r="B67" s="5" t="s">
        <v>107</v>
      </c>
      <c r="C67" s="5" t="s">
        <v>21</v>
      </c>
      <c r="D67" s="5" t="s">
        <v>108</v>
      </c>
      <c r="E67" s="6" t="n">
        <v>46195</v>
      </c>
      <c r="F67" s="7" t="n">
        <v>2</v>
      </c>
      <c r="G67" s="7" t="n">
        <v>79.4</v>
      </c>
      <c r="H67" s="7" t="n">
        <v>130</v>
      </c>
      <c r="I67" s="5" t="str">
        <f aca="false">IF(G67&gt;H67,"Over Limit","Normal")</f>
        <v>Normal</v>
      </c>
      <c r="J67" s="5" t="str">
        <f aca="false">IF(G67&gt;H67*1.4,"LEAK ALERT",IF(G67&gt;H67,"Warning","OK"))</f>
        <v>OK</v>
      </c>
      <c r="K67" s="7" t="n">
        <v>58</v>
      </c>
    </row>
    <row r="68" customFormat="false" ht="15" hidden="false" customHeight="false" outlineLevel="0" collapsed="false">
      <c r="A68" s="2" t="s">
        <v>109</v>
      </c>
      <c r="B68" s="2" t="s">
        <v>107</v>
      </c>
      <c r="C68" s="2" t="s">
        <v>21</v>
      </c>
      <c r="D68" s="2" t="s">
        <v>108</v>
      </c>
      <c r="E68" s="3" t="n">
        <v>46196</v>
      </c>
      <c r="F68" s="4" t="n">
        <v>2</v>
      </c>
      <c r="G68" s="4" t="n">
        <v>87.8</v>
      </c>
      <c r="H68" s="4" t="n">
        <v>130</v>
      </c>
      <c r="I68" s="2" t="str">
        <f aca="false">IF(G68&gt;H68,"Over Limit","Normal")</f>
        <v>Normal</v>
      </c>
      <c r="J68" s="2" t="str">
        <f aca="false">IF(G68&gt;H68*1.4,"LEAK ALERT",IF(G68&gt;H68,"Warning","OK"))</f>
        <v>OK</v>
      </c>
      <c r="K68" s="4" t="n">
        <v>49</v>
      </c>
    </row>
    <row r="69" customFormat="false" ht="15" hidden="false" customHeight="false" outlineLevel="0" collapsed="false">
      <c r="A69" s="5" t="s">
        <v>110</v>
      </c>
      <c r="B69" s="5" t="s">
        <v>107</v>
      </c>
      <c r="C69" s="5" t="s">
        <v>21</v>
      </c>
      <c r="D69" s="5" t="s">
        <v>108</v>
      </c>
      <c r="E69" s="6" t="n">
        <v>46197</v>
      </c>
      <c r="F69" s="7" t="n">
        <v>2</v>
      </c>
      <c r="G69" s="7" t="n">
        <v>84.9</v>
      </c>
      <c r="H69" s="7" t="n">
        <v>130</v>
      </c>
      <c r="I69" s="5" t="str">
        <f aca="false">IF(G69&gt;H69,"Over Limit","Normal")</f>
        <v>Normal</v>
      </c>
      <c r="J69" s="5" t="str">
        <f aca="false">IF(G69&gt;H69*1.4,"LEAK ALERT",IF(G69&gt;H69,"Warning","OK"))</f>
        <v>OK</v>
      </c>
      <c r="K69" s="7" t="n">
        <v>87</v>
      </c>
    </row>
    <row r="70" customFormat="false" ht="15" hidden="false" customHeight="false" outlineLevel="0" collapsed="false">
      <c r="A70" s="2" t="s">
        <v>111</v>
      </c>
      <c r="B70" s="2" t="s">
        <v>107</v>
      </c>
      <c r="C70" s="2" t="s">
        <v>21</v>
      </c>
      <c r="D70" s="2" t="s">
        <v>108</v>
      </c>
      <c r="E70" s="3" t="n">
        <v>46198</v>
      </c>
      <c r="F70" s="4" t="n">
        <v>2</v>
      </c>
      <c r="G70" s="4" t="n">
        <v>104.7</v>
      </c>
      <c r="H70" s="4" t="n">
        <v>130</v>
      </c>
      <c r="I70" s="2" t="str">
        <f aca="false">IF(G70&gt;H70,"Over Limit","Normal")</f>
        <v>Normal</v>
      </c>
      <c r="J70" s="2" t="str">
        <f aca="false">IF(G70&gt;H70*1.4,"LEAK ALERT",IF(G70&gt;H70,"Warning","OK"))</f>
        <v>OK</v>
      </c>
      <c r="K70" s="4" t="n">
        <v>71</v>
      </c>
    </row>
    <row r="71" customFormat="false" ht="15" hidden="false" customHeight="false" outlineLevel="0" collapsed="false">
      <c r="A71" s="5" t="s">
        <v>112</v>
      </c>
      <c r="B71" s="5" t="s">
        <v>107</v>
      </c>
      <c r="C71" s="5" t="s">
        <v>21</v>
      </c>
      <c r="D71" s="5" t="s">
        <v>108</v>
      </c>
      <c r="E71" s="6" t="n">
        <v>46199</v>
      </c>
      <c r="F71" s="7" t="n">
        <v>2</v>
      </c>
      <c r="G71" s="7" t="n">
        <v>85.9</v>
      </c>
      <c r="H71" s="7" t="n">
        <v>130</v>
      </c>
      <c r="I71" s="5" t="str">
        <f aca="false">IF(G71&gt;H71,"Over Limit","Normal")</f>
        <v>Normal</v>
      </c>
      <c r="J71" s="5" t="str">
        <f aca="false">IF(G71&gt;H71*1.4,"LEAK ALERT",IF(G71&gt;H71,"Warning","OK"))</f>
        <v>OK</v>
      </c>
      <c r="K71" s="7" t="n">
        <v>56</v>
      </c>
    </row>
    <row r="72" customFormat="false" ht="15" hidden="false" customHeight="false" outlineLevel="0" collapsed="false">
      <c r="A72" s="2" t="s">
        <v>113</v>
      </c>
      <c r="B72" s="2" t="s">
        <v>114</v>
      </c>
      <c r="C72" s="2" t="s">
        <v>29</v>
      </c>
      <c r="D72" s="2" t="s">
        <v>115</v>
      </c>
      <c r="E72" s="3" t="n">
        <v>46195</v>
      </c>
      <c r="F72" s="4" t="n">
        <v>3</v>
      </c>
      <c r="G72" s="4" t="n">
        <v>153.3</v>
      </c>
      <c r="H72" s="4" t="n">
        <v>190</v>
      </c>
      <c r="I72" s="2" t="str">
        <f aca="false">IF(G72&gt;H72,"Over Limit","Normal")</f>
        <v>Normal</v>
      </c>
      <c r="J72" s="2" t="str">
        <f aca="false">IF(G72&gt;H72*1.4,"LEAK ALERT",IF(G72&gt;H72,"Warning","OK"))</f>
        <v>OK</v>
      </c>
      <c r="K72" s="4" t="n">
        <v>47</v>
      </c>
    </row>
    <row r="73" customFormat="false" ht="15" hidden="false" customHeight="false" outlineLevel="0" collapsed="false">
      <c r="A73" s="5" t="s">
        <v>116</v>
      </c>
      <c r="B73" s="5" t="s">
        <v>114</v>
      </c>
      <c r="C73" s="5" t="s">
        <v>29</v>
      </c>
      <c r="D73" s="5" t="s">
        <v>115</v>
      </c>
      <c r="E73" s="6" t="n">
        <v>46196</v>
      </c>
      <c r="F73" s="7" t="n">
        <v>3</v>
      </c>
      <c r="G73" s="7" t="n">
        <v>378.7</v>
      </c>
      <c r="H73" s="7" t="n">
        <v>190</v>
      </c>
      <c r="I73" s="5" t="str">
        <f aca="false">IF(G73&gt;H73,"Over Limit","Normal")</f>
        <v>Over Limit</v>
      </c>
      <c r="J73" s="5" t="str">
        <f aca="false">IF(G73&gt;H73*1.4,"LEAK ALERT",IF(G73&gt;H73,"Warning","OK"))</f>
        <v>LEAK ALERT</v>
      </c>
      <c r="K73" s="7" t="n">
        <v>63</v>
      </c>
    </row>
    <row r="74" customFormat="false" ht="15" hidden="false" customHeight="false" outlineLevel="0" collapsed="false">
      <c r="A74" s="2" t="s">
        <v>117</v>
      </c>
      <c r="B74" s="2" t="s">
        <v>114</v>
      </c>
      <c r="C74" s="2" t="s">
        <v>29</v>
      </c>
      <c r="D74" s="2" t="s">
        <v>115</v>
      </c>
      <c r="E74" s="3" t="n">
        <v>46197</v>
      </c>
      <c r="F74" s="4" t="n">
        <v>3</v>
      </c>
      <c r="G74" s="4" t="n">
        <v>138.3</v>
      </c>
      <c r="H74" s="4" t="n">
        <v>190</v>
      </c>
      <c r="I74" s="2" t="str">
        <f aca="false">IF(G74&gt;H74,"Over Limit","Normal")</f>
        <v>Normal</v>
      </c>
      <c r="J74" s="2" t="str">
        <f aca="false">IF(G74&gt;H74*1.4,"LEAK ALERT",IF(G74&gt;H74,"Warning","OK"))</f>
        <v>OK</v>
      </c>
      <c r="K74" s="4" t="n">
        <v>68</v>
      </c>
    </row>
    <row r="75" customFormat="false" ht="15" hidden="false" customHeight="false" outlineLevel="0" collapsed="false">
      <c r="A75" s="5" t="s">
        <v>118</v>
      </c>
      <c r="B75" s="5" t="s">
        <v>114</v>
      </c>
      <c r="C75" s="5" t="s">
        <v>29</v>
      </c>
      <c r="D75" s="5" t="s">
        <v>115</v>
      </c>
      <c r="E75" s="6" t="n">
        <v>46198</v>
      </c>
      <c r="F75" s="7" t="n">
        <v>3</v>
      </c>
      <c r="G75" s="7" t="n">
        <v>118.9</v>
      </c>
      <c r="H75" s="7" t="n">
        <v>190</v>
      </c>
      <c r="I75" s="5" t="str">
        <f aca="false">IF(G75&gt;H75,"Over Limit","Normal")</f>
        <v>Normal</v>
      </c>
      <c r="J75" s="5" t="str">
        <f aca="false">IF(G75&gt;H75*1.4,"LEAK ALERT",IF(G75&gt;H75,"Warning","OK"))</f>
        <v>OK</v>
      </c>
      <c r="K75" s="7" t="n">
        <v>44</v>
      </c>
    </row>
    <row r="76" customFormat="false" ht="15" hidden="false" customHeight="false" outlineLevel="0" collapsed="false">
      <c r="A76" s="2" t="s">
        <v>119</v>
      </c>
      <c r="B76" s="2" t="s">
        <v>114</v>
      </c>
      <c r="C76" s="2" t="s">
        <v>29</v>
      </c>
      <c r="D76" s="2" t="s">
        <v>115</v>
      </c>
      <c r="E76" s="3" t="n">
        <v>46199</v>
      </c>
      <c r="F76" s="4" t="n">
        <v>3</v>
      </c>
      <c r="G76" s="4" t="n">
        <v>381.1</v>
      </c>
      <c r="H76" s="4" t="n">
        <v>190</v>
      </c>
      <c r="I76" s="2" t="str">
        <f aca="false">IF(G76&gt;H76,"Over Limit","Normal")</f>
        <v>Over Limit</v>
      </c>
      <c r="J76" s="2" t="str">
        <f aca="false">IF(G76&gt;H76*1.4,"LEAK ALERT",IF(G76&gt;H76,"Warning","OK"))</f>
        <v>LEAK ALERT</v>
      </c>
      <c r="K76" s="4" t="n">
        <v>82</v>
      </c>
    </row>
    <row r="77" customFormat="false" ht="15" hidden="false" customHeight="false" outlineLevel="0" collapsed="false">
      <c r="A77" s="5" t="s">
        <v>120</v>
      </c>
      <c r="B77" s="5" t="s">
        <v>121</v>
      </c>
      <c r="C77" s="5" t="s">
        <v>37</v>
      </c>
      <c r="D77" s="5" t="s">
        <v>122</v>
      </c>
      <c r="E77" s="6" t="n">
        <v>46195</v>
      </c>
      <c r="F77" s="7" t="n">
        <v>3</v>
      </c>
      <c r="G77" s="7" t="n">
        <v>124.1</v>
      </c>
      <c r="H77" s="7" t="n">
        <v>190</v>
      </c>
      <c r="I77" s="5" t="str">
        <f aca="false">IF(G77&gt;H77,"Over Limit","Normal")</f>
        <v>Normal</v>
      </c>
      <c r="J77" s="5" t="str">
        <f aca="false">IF(G77&gt;H77*1.4,"LEAK ALERT",IF(G77&gt;H77,"Warning","OK"))</f>
        <v>OK</v>
      </c>
      <c r="K77" s="7" t="n">
        <v>66</v>
      </c>
    </row>
    <row r="78" customFormat="false" ht="15" hidden="false" customHeight="false" outlineLevel="0" collapsed="false">
      <c r="A78" s="2" t="s">
        <v>123</v>
      </c>
      <c r="B78" s="2" t="s">
        <v>121</v>
      </c>
      <c r="C78" s="2" t="s">
        <v>37</v>
      </c>
      <c r="D78" s="2" t="s">
        <v>122</v>
      </c>
      <c r="E78" s="3" t="n">
        <v>46196</v>
      </c>
      <c r="F78" s="4" t="n">
        <v>3</v>
      </c>
      <c r="G78" s="4" t="n">
        <v>106.9</v>
      </c>
      <c r="H78" s="4" t="n">
        <v>190</v>
      </c>
      <c r="I78" s="2" t="str">
        <f aca="false">IF(G78&gt;H78,"Over Limit","Normal")</f>
        <v>Normal</v>
      </c>
      <c r="J78" s="2" t="str">
        <f aca="false">IF(G78&gt;H78*1.4,"LEAK ALERT",IF(G78&gt;H78,"Warning","OK"))</f>
        <v>OK</v>
      </c>
      <c r="K78" s="4" t="n">
        <v>47</v>
      </c>
    </row>
    <row r="79" customFormat="false" ht="15" hidden="false" customHeight="false" outlineLevel="0" collapsed="false">
      <c r="A79" s="5" t="s">
        <v>124</v>
      </c>
      <c r="B79" s="5" t="s">
        <v>121</v>
      </c>
      <c r="C79" s="5" t="s">
        <v>37</v>
      </c>
      <c r="D79" s="5" t="s">
        <v>122</v>
      </c>
      <c r="E79" s="6" t="n">
        <v>46197</v>
      </c>
      <c r="F79" s="7" t="n">
        <v>3</v>
      </c>
      <c r="G79" s="7" t="n">
        <v>86.6</v>
      </c>
      <c r="H79" s="7" t="n">
        <v>190</v>
      </c>
      <c r="I79" s="5" t="str">
        <f aca="false">IF(G79&gt;H79,"Over Limit","Normal")</f>
        <v>Normal</v>
      </c>
      <c r="J79" s="5" t="str">
        <f aca="false">IF(G79&gt;H79*1.4,"LEAK ALERT",IF(G79&gt;H79,"Warning","OK"))</f>
        <v>OK</v>
      </c>
      <c r="K79" s="7" t="n">
        <v>56</v>
      </c>
    </row>
    <row r="80" customFormat="false" ht="15" hidden="false" customHeight="false" outlineLevel="0" collapsed="false">
      <c r="A80" s="2" t="s">
        <v>125</v>
      </c>
      <c r="B80" s="2" t="s">
        <v>121</v>
      </c>
      <c r="C80" s="2" t="s">
        <v>37</v>
      </c>
      <c r="D80" s="2" t="s">
        <v>122</v>
      </c>
      <c r="E80" s="3" t="n">
        <v>46198</v>
      </c>
      <c r="F80" s="4" t="n">
        <v>3</v>
      </c>
      <c r="G80" s="4" t="n">
        <v>116</v>
      </c>
      <c r="H80" s="4" t="n">
        <v>190</v>
      </c>
      <c r="I80" s="2" t="str">
        <f aca="false">IF(G80&gt;H80,"Over Limit","Normal")</f>
        <v>Normal</v>
      </c>
      <c r="J80" s="2" t="str">
        <f aca="false">IF(G80&gt;H80*1.4,"LEAK ALERT",IF(G80&gt;H80,"Warning","OK"))</f>
        <v>OK</v>
      </c>
      <c r="K80" s="4" t="n">
        <v>49</v>
      </c>
    </row>
    <row r="81" customFormat="false" ht="15" hidden="false" customHeight="false" outlineLevel="0" collapsed="false">
      <c r="A81" s="5" t="s">
        <v>126</v>
      </c>
      <c r="B81" s="5" t="s">
        <v>121</v>
      </c>
      <c r="C81" s="5" t="s">
        <v>37</v>
      </c>
      <c r="D81" s="5" t="s">
        <v>122</v>
      </c>
      <c r="E81" s="6" t="n">
        <v>46199</v>
      </c>
      <c r="F81" s="7" t="n">
        <v>3</v>
      </c>
      <c r="G81" s="7" t="n">
        <v>125.4</v>
      </c>
      <c r="H81" s="7" t="n">
        <v>190</v>
      </c>
      <c r="I81" s="5" t="str">
        <f aca="false">IF(G81&gt;H81,"Over Limit","Normal")</f>
        <v>Normal</v>
      </c>
      <c r="J81" s="5" t="str">
        <f aca="false">IF(G81&gt;H81*1.4,"LEAK ALERT",IF(G81&gt;H81,"Warning","OK"))</f>
        <v>OK</v>
      </c>
      <c r="K81" s="7" t="n">
        <v>68</v>
      </c>
    </row>
    <row r="82" customFormat="false" ht="15" hidden="false" customHeight="false" outlineLevel="0" collapsed="false">
      <c r="A82" s="2" t="s">
        <v>127</v>
      </c>
      <c r="B82" s="2" t="s">
        <v>128</v>
      </c>
      <c r="C82" s="2" t="s">
        <v>13</v>
      </c>
      <c r="D82" s="2" t="s">
        <v>129</v>
      </c>
      <c r="E82" s="3" t="n">
        <v>46195</v>
      </c>
      <c r="F82" s="4" t="n">
        <v>6</v>
      </c>
      <c r="G82" s="4" t="n">
        <v>161.4</v>
      </c>
      <c r="H82" s="4" t="n">
        <v>350</v>
      </c>
      <c r="I82" s="2" t="str">
        <f aca="false">IF(G82&gt;H82,"Over Limit","Normal")</f>
        <v>Normal</v>
      </c>
      <c r="J82" s="2" t="str">
        <f aca="false">IF(G82&gt;H82*1.4,"LEAK ALERT",IF(G82&gt;H82,"Warning","OK"))</f>
        <v>OK</v>
      </c>
      <c r="K82" s="4" t="n">
        <v>45</v>
      </c>
    </row>
    <row r="83" customFormat="false" ht="15" hidden="false" customHeight="false" outlineLevel="0" collapsed="false">
      <c r="A83" s="5" t="s">
        <v>130</v>
      </c>
      <c r="B83" s="5" t="s">
        <v>128</v>
      </c>
      <c r="C83" s="5" t="s">
        <v>13</v>
      </c>
      <c r="D83" s="5" t="s">
        <v>129</v>
      </c>
      <c r="E83" s="6" t="n">
        <v>46196</v>
      </c>
      <c r="F83" s="7" t="n">
        <v>6</v>
      </c>
      <c r="G83" s="7" t="n">
        <v>223.8</v>
      </c>
      <c r="H83" s="7" t="n">
        <v>350</v>
      </c>
      <c r="I83" s="5" t="str">
        <f aca="false">IF(G83&gt;H83,"Over Limit","Normal")</f>
        <v>Normal</v>
      </c>
      <c r="J83" s="5" t="str">
        <f aca="false">IF(G83&gt;H83*1.4,"LEAK ALERT",IF(G83&gt;H83,"Warning","OK"))</f>
        <v>OK</v>
      </c>
      <c r="K83" s="7" t="n">
        <v>69</v>
      </c>
    </row>
    <row r="84" customFormat="false" ht="15" hidden="false" customHeight="false" outlineLevel="0" collapsed="false">
      <c r="A84" s="2" t="s">
        <v>131</v>
      </c>
      <c r="B84" s="2" t="s">
        <v>128</v>
      </c>
      <c r="C84" s="2" t="s">
        <v>13</v>
      </c>
      <c r="D84" s="2" t="s">
        <v>129</v>
      </c>
      <c r="E84" s="3" t="n">
        <v>46197</v>
      </c>
      <c r="F84" s="4" t="n">
        <v>6</v>
      </c>
      <c r="G84" s="4" t="n">
        <v>229.6</v>
      </c>
      <c r="H84" s="4" t="n">
        <v>350</v>
      </c>
      <c r="I84" s="2" t="str">
        <f aca="false">IF(G84&gt;H84,"Over Limit","Normal")</f>
        <v>Normal</v>
      </c>
      <c r="J84" s="2" t="str">
        <f aca="false">IF(G84&gt;H84*1.4,"LEAK ALERT",IF(G84&gt;H84,"Warning","OK"))</f>
        <v>OK</v>
      </c>
      <c r="K84" s="4" t="n">
        <v>47</v>
      </c>
    </row>
    <row r="85" customFormat="false" ht="15" hidden="false" customHeight="false" outlineLevel="0" collapsed="false">
      <c r="A85" s="5" t="s">
        <v>132</v>
      </c>
      <c r="B85" s="5" t="s">
        <v>128</v>
      </c>
      <c r="C85" s="5" t="s">
        <v>13</v>
      </c>
      <c r="D85" s="5" t="s">
        <v>129</v>
      </c>
      <c r="E85" s="6" t="n">
        <v>46198</v>
      </c>
      <c r="F85" s="7" t="n">
        <v>6</v>
      </c>
      <c r="G85" s="7" t="n">
        <v>165</v>
      </c>
      <c r="H85" s="7" t="n">
        <v>350</v>
      </c>
      <c r="I85" s="5" t="str">
        <f aca="false">IF(G85&gt;H85,"Over Limit","Normal")</f>
        <v>Normal</v>
      </c>
      <c r="J85" s="5" t="str">
        <f aca="false">IF(G85&gt;H85*1.4,"LEAK ALERT",IF(G85&gt;H85,"Warning","OK"))</f>
        <v>OK</v>
      </c>
      <c r="K85" s="7" t="n">
        <v>44</v>
      </c>
    </row>
    <row r="86" customFormat="false" ht="15" hidden="false" customHeight="false" outlineLevel="0" collapsed="false">
      <c r="A86" s="2" t="s">
        <v>133</v>
      </c>
      <c r="B86" s="2" t="s">
        <v>128</v>
      </c>
      <c r="C86" s="2" t="s">
        <v>13</v>
      </c>
      <c r="D86" s="2" t="s">
        <v>129</v>
      </c>
      <c r="E86" s="3" t="n">
        <v>46199</v>
      </c>
      <c r="F86" s="4" t="n">
        <v>6</v>
      </c>
      <c r="G86" s="4" t="n">
        <v>193.5</v>
      </c>
      <c r="H86" s="4" t="n">
        <v>350</v>
      </c>
      <c r="I86" s="2" t="str">
        <f aca="false">IF(G86&gt;H86,"Over Limit","Normal")</f>
        <v>Normal</v>
      </c>
      <c r="J86" s="2" t="str">
        <f aca="false">IF(G86&gt;H86*1.4,"LEAK ALERT",IF(G86&gt;H86,"Warning","OK"))</f>
        <v>OK</v>
      </c>
      <c r="K86" s="4" t="n">
        <v>41</v>
      </c>
    </row>
    <row r="87" customFormat="false" ht="15" hidden="false" customHeight="false" outlineLevel="0" collapsed="false">
      <c r="A87" s="5" t="s">
        <v>134</v>
      </c>
      <c r="B87" s="5" t="s">
        <v>135</v>
      </c>
      <c r="C87" s="5" t="s">
        <v>21</v>
      </c>
      <c r="D87" s="5" t="s">
        <v>136</v>
      </c>
      <c r="E87" s="6" t="n">
        <v>46195</v>
      </c>
      <c r="F87" s="7" t="n">
        <v>6</v>
      </c>
      <c r="G87" s="7" t="n">
        <v>280.4</v>
      </c>
      <c r="H87" s="7" t="n">
        <v>380</v>
      </c>
      <c r="I87" s="5" t="str">
        <f aca="false">IF(G87&gt;H87,"Over Limit","Normal")</f>
        <v>Normal</v>
      </c>
      <c r="J87" s="5" t="str">
        <f aca="false">IF(G87&gt;H87*1.4,"LEAK ALERT",IF(G87&gt;H87,"Warning","OK"))</f>
        <v>OK</v>
      </c>
      <c r="K87" s="7" t="n">
        <v>100</v>
      </c>
    </row>
    <row r="88" customFormat="false" ht="15" hidden="false" customHeight="false" outlineLevel="0" collapsed="false">
      <c r="A88" s="2" t="s">
        <v>137</v>
      </c>
      <c r="B88" s="2" t="s">
        <v>135</v>
      </c>
      <c r="C88" s="2" t="s">
        <v>21</v>
      </c>
      <c r="D88" s="2" t="s">
        <v>136</v>
      </c>
      <c r="E88" s="3" t="n">
        <v>46196</v>
      </c>
      <c r="F88" s="4" t="n">
        <v>6</v>
      </c>
      <c r="G88" s="4" t="n">
        <v>320.1</v>
      </c>
      <c r="H88" s="4" t="n">
        <v>380</v>
      </c>
      <c r="I88" s="2" t="str">
        <f aca="false">IF(G88&gt;H88,"Over Limit","Normal")</f>
        <v>Normal</v>
      </c>
      <c r="J88" s="2" t="str">
        <f aca="false">IF(G88&gt;H88*1.4,"LEAK ALERT",IF(G88&gt;H88,"Warning","OK"))</f>
        <v>OK</v>
      </c>
      <c r="K88" s="4" t="n">
        <v>67</v>
      </c>
    </row>
    <row r="89" customFormat="false" ht="15" hidden="false" customHeight="false" outlineLevel="0" collapsed="false">
      <c r="A89" s="5" t="s">
        <v>138</v>
      </c>
      <c r="B89" s="5" t="s">
        <v>135</v>
      </c>
      <c r="C89" s="5" t="s">
        <v>21</v>
      </c>
      <c r="D89" s="5" t="s">
        <v>136</v>
      </c>
      <c r="E89" s="6" t="n">
        <v>46197</v>
      </c>
      <c r="F89" s="7" t="n">
        <v>6</v>
      </c>
      <c r="G89" s="7" t="n">
        <v>291.3</v>
      </c>
      <c r="H89" s="7" t="n">
        <v>380</v>
      </c>
      <c r="I89" s="5" t="str">
        <f aca="false">IF(G89&gt;H89,"Over Limit","Normal")</f>
        <v>Normal</v>
      </c>
      <c r="J89" s="5" t="str">
        <f aca="false">IF(G89&gt;H89*1.4,"LEAK ALERT",IF(G89&gt;H89,"Warning","OK"))</f>
        <v>OK</v>
      </c>
      <c r="K89" s="7" t="n">
        <v>72</v>
      </c>
    </row>
    <row r="90" customFormat="false" ht="15" hidden="false" customHeight="false" outlineLevel="0" collapsed="false">
      <c r="A90" s="2" t="s">
        <v>139</v>
      </c>
      <c r="B90" s="2" t="s">
        <v>135</v>
      </c>
      <c r="C90" s="2" t="s">
        <v>21</v>
      </c>
      <c r="D90" s="2" t="s">
        <v>136</v>
      </c>
      <c r="E90" s="3" t="n">
        <v>46198</v>
      </c>
      <c r="F90" s="4" t="n">
        <v>6</v>
      </c>
      <c r="G90" s="4" t="n">
        <v>243.3</v>
      </c>
      <c r="H90" s="4" t="n">
        <v>380</v>
      </c>
      <c r="I90" s="2" t="str">
        <f aca="false">IF(G90&gt;H90,"Over Limit","Normal")</f>
        <v>Normal</v>
      </c>
      <c r="J90" s="2" t="str">
        <f aca="false">IF(G90&gt;H90*1.4,"LEAK ALERT",IF(G90&gt;H90,"Warning","OK"))</f>
        <v>OK</v>
      </c>
      <c r="K90" s="4" t="n">
        <v>98</v>
      </c>
    </row>
    <row r="91" customFormat="false" ht="15" hidden="false" customHeight="false" outlineLevel="0" collapsed="false">
      <c r="A91" s="5" t="s">
        <v>140</v>
      </c>
      <c r="B91" s="5" t="s">
        <v>135</v>
      </c>
      <c r="C91" s="5" t="s">
        <v>21</v>
      </c>
      <c r="D91" s="5" t="s">
        <v>136</v>
      </c>
      <c r="E91" s="6" t="n">
        <v>46199</v>
      </c>
      <c r="F91" s="7" t="n">
        <v>6</v>
      </c>
      <c r="G91" s="7" t="n">
        <v>328.4</v>
      </c>
      <c r="H91" s="7" t="n">
        <v>380</v>
      </c>
      <c r="I91" s="5" t="str">
        <f aca="false">IF(G91&gt;H91,"Over Limit","Normal")</f>
        <v>Normal</v>
      </c>
      <c r="J91" s="5" t="str">
        <f aca="false">IF(G91&gt;H91*1.4,"LEAK ALERT",IF(G91&gt;H91,"Warning","OK"))</f>
        <v>OK</v>
      </c>
      <c r="K91" s="7" t="n">
        <v>44</v>
      </c>
    </row>
    <row r="92" customFormat="false" ht="15" hidden="false" customHeight="false" outlineLevel="0" collapsed="false">
      <c r="A92" s="2" t="s">
        <v>141</v>
      </c>
      <c r="B92" s="2" t="s">
        <v>142</v>
      </c>
      <c r="C92" s="2" t="s">
        <v>29</v>
      </c>
      <c r="D92" s="2" t="s">
        <v>143</v>
      </c>
      <c r="E92" s="3" t="n">
        <v>46195</v>
      </c>
      <c r="F92" s="4" t="n">
        <v>2</v>
      </c>
      <c r="G92" s="4" t="n">
        <v>154.2</v>
      </c>
      <c r="H92" s="4" t="n">
        <v>110</v>
      </c>
      <c r="I92" s="2" t="str">
        <f aca="false">IF(G92&gt;H92,"Over Limit","Normal")</f>
        <v>Over Limit</v>
      </c>
      <c r="J92" s="2" t="str">
        <f aca="false">IF(G92&gt;H92*1.4,"LEAK ALERT",IF(G92&gt;H92,"Warning","OK"))</f>
        <v>LEAK ALERT</v>
      </c>
      <c r="K92" s="4" t="n">
        <v>65</v>
      </c>
    </row>
    <row r="93" customFormat="false" ht="15" hidden="false" customHeight="false" outlineLevel="0" collapsed="false">
      <c r="A93" s="5" t="s">
        <v>144</v>
      </c>
      <c r="B93" s="5" t="s">
        <v>142</v>
      </c>
      <c r="C93" s="5" t="s">
        <v>29</v>
      </c>
      <c r="D93" s="5" t="s">
        <v>143</v>
      </c>
      <c r="E93" s="6" t="n">
        <v>46196</v>
      </c>
      <c r="F93" s="7" t="n">
        <v>2</v>
      </c>
      <c r="G93" s="7" t="n">
        <v>64.6</v>
      </c>
      <c r="H93" s="7" t="n">
        <v>110</v>
      </c>
      <c r="I93" s="5" t="str">
        <f aca="false">IF(G93&gt;H93,"Over Limit","Normal")</f>
        <v>Normal</v>
      </c>
      <c r="J93" s="5" t="str">
        <f aca="false">IF(G93&gt;H93*1.4,"LEAK ALERT",IF(G93&gt;H93,"Warning","OK"))</f>
        <v>OK</v>
      </c>
      <c r="K93" s="7" t="n">
        <v>70</v>
      </c>
    </row>
    <row r="94" customFormat="false" ht="15" hidden="false" customHeight="false" outlineLevel="0" collapsed="false">
      <c r="A94" s="2" t="s">
        <v>145</v>
      </c>
      <c r="B94" s="2" t="s">
        <v>142</v>
      </c>
      <c r="C94" s="2" t="s">
        <v>29</v>
      </c>
      <c r="D94" s="2" t="s">
        <v>143</v>
      </c>
      <c r="E94" s="3" t="n">
        <v>46197</v>
      </c>
      <c r="F94" s="4" t="n">
        <v>2</v>
      </c>
      <c r="G94" s="4" t="n">
        <v>79.7</v>
      </c>
      <c r="H94" s="4" t="n">
        <v>110</v>
      </c>
      <c r="I94" s="2" t="str">
        <f aca="false">IF(G94&gt;H94,"Over Limit","Normal")</f>
        <v>Normal</v>
      </c>
      <c r="J94" s="2" t="str">
        <f aca="false">IF(G94&gt;H94*1.4,"LEAK ALERT",IF(G94&gt;H94,"Warning","OK"))</f>
        <v>OK</v>
      </c>
      <c r="K94" s="4" t="n">
        <v>59</v>
      </c>
    </row>
    <row r="95" customFormat="false" ht="15" hidden="false" customHeight="false" outlineLevel="0" collapsed="false">
      <c r="A95" s="5" t="s">
        <v>146</v>
      </c>
      <c r="B95" s="5" t="s">
        <v>142</v>
      </c>
      <c r="C95" s="5" t="s">
        <v>29</v>
      </c>
      <c r="D95" s="5" t="s">
        <v>143</v>
      </c>
      <c r="E95" s="6" t="n">
        <v>46198</v>
      </c>
      <c r="F95" s="7" t="n">
        <v>2</v>
      </c>
      <c r="G95" s="7" t="n">
        <v>195.9</v>
      </c>
      <c r="H95" s="7" t="n">
        <v>110</v>
      </c>
      <c r="I95" s="5" t="str">
        <f aca="false">IF(G95&gt;H95,"Over Limit","Normal")</f>
        <v>Over Limit</v>
      </c>
      <c r="J95" s="5" t="str">
        <f aca="false">IF(G95&gt;H95*1.4,"LEAK ALERT",IF(G95&gt;H95,"Warning","OK"))</f>
        <v>LEAK ALERT</v>
      </c>
      <c r="K95" s="7" t="n">
        <v>87</v>
      </c>
    </row>
    <row r="96" customFormat="false" ht="15" hidden="false" customHeight="false" outlineLevel="0" collapsed="false">
      <c r="A96" s="2" t="s">
        <v>147</v>
      </c>
      <c r="B96" s="2" t="s">
        <v>142</v>
      </c>
      <c r="C96" s="2" t="s">
        <v>29</v>
      </c>
      <c r="D96" s="2" t="s">
        <v>143</v>
      </c>
      <c r="E96" s="3" t="n">
        <v>46199</v>
      </c>
      <c r="F96" s="4" t="n">
        <v>2</v>
      </c>
      <c r="G96" s="4" t="n">
        <v>252.5</v>
      </c>
      <c r="H96" s="4" t="n">
        <v>110</v>
      </c>
      <c r="I96" s="2" t="str">
        <f aca="false">IF(G96&gt;H96,"Over Limit","Normal")</f>
        <v>Over Limit</v>
      </c>
      <c r="J96" s="2" t="str">
        <f aca="false">IF(G96&gt;H96*1.4,"LEAK ALERT",IF(G96&gt;H96,"Warning","OK"))</f>
        <v>LEAK ALERT</v>
      </c>
      <c r="K96" s="4" t="n">
        <v>76</v>
      </c>
    </row>
    <row r="97" customFormat="false" ht="15" hidden="false" customHeight="false" outlineLevel="0" collapsed="false">
      <c r="A97" s="5" t="s">
        <v>148</v>
      </c>
      <c r="B97" s="5" t="s">
        <v>149</v>
      </c>
      <c r="C97" s="5" t="s">
        <v>37</v>
      </c>
      <c r="D97" s="5" t="s">
        <v>150</v>
      </c>
      <c r="E97" s="6" t="n">
        <v>46195</v>
      </c>
      <c r="F97" s="7" t="n">
        <v>6</v>
      </c>
      <c r="G97" s="7" t="n">
        <v>262.4</v>
      </c>
      <c r="H97" s="7" t="n">
        <v>380</v>
      </c>
      <c r="I97" s="5" t="str">
        <f aca="false">IF(G97&gt;H97,"Over Limit","Normal")</f>
        <v>Normal</v>
      </c>
      <c r="J97" s="5" t="str">
        <f aca="false">IF(G97&gt;H97*1.4,"LEAK ALERT",IF(G97&gt;H97,"Warning","OK"))</f>
        <v>OK</v>
      </c>
      <c r="K97" s="7" t="n">
        <v>54</v>
      </c>
    </row>
    <row r="98" customFormat="false" ht="15" hidden="false" customHeight="false" outlineLevel="0" collapsed="false">
      <c r="A98" s="2" t="s">
        <v>151</v>
      </c>
      <c r="B98" s="2" t="s">
        <v>149</v>
      </c>
      <c r="C98" s="2" t="s">
        <v>37</v>
      </c>
      <c r="D98" s="2" t="s">
        <v>150</v>
      </c>
      <c r="E98" s="3" t="n">
        <v>46196</v>
      </c>
      <c r="F98" s="4" t="n">
        <v>6</v>
      </c>
      <c r="G98" s="4" t="n">
        <v>286.3</v>
      </c>
      <c r="H98" s="4" t="n">
        <v>380</v>
      </c>
      <c r="I98" s="2" t="str">
        <f aca="false">IF(G98&gt;H98,"Over Limit","Normal")</f>
        <v>Normal</v>
      </c>
      <c r="J98" s="2" t="str">
        <f aca="false">IF(G98&gt;H98*1.4,"LEAK ALERT",IF(G98&gt;H98,"Warning","OK"))</f>
        <v>OK</v>
      </c>
      <c r="K98" s="4" t="n">
        <v>44</v>
      </c>
    </row>
    <row r="99" customFormat="false" ht="15" hidden="false" customHeight="false" outlineLevel="0" collapsed="false">
      <c r="A99" s="5" t="s">
        <v>152</v>
      </c>
      <c r="B99" s="5" t="s">
        <v>149</v>
      </c>
      <c r="C99" s="5" t="s">
        <v>37</v>
      </c>
      <c r="D99" s="5" t="s">
        <v>150</v>
      </c>
      <c r="E99" s="6" t="n">
        <v>46197</v>
      </c>
      <c r="F99" s="7" t="n">
        <v>6</v>
      </c>
      <c r="G99" s="7" t="n">
        <v>730.1</v>
      </c>
      <c r="H99" s="7" t="n">
        <v>380</v>
      </c>
      <c r="I99" s="5" t="str">
        <f aca="false">IF(G99&gt;H99,"Over Limit","Normal")</f>
        <v>Over Limit</v>
      </c>
      <c r="J99" s="5" t="str">
        <f aca="false">IF(G99&gt;H99*1.4,"LEAK ALERT",IF(G99&gt;H99,"Warning","OK"))</f>
        <v>LEAK ALERT</v>
      </c>
      <c r="K99" s="7" t="n">
        <v>75</v>
      </c>
    </row>
    <row r="100" customFormat="false" ht="15" hidden="false" customHeight="false" outlineLevel="0" collapsed="false">
      <c r="A100" s="2" t="s">
        <v>153</v>
      </c>
      <c r="B100" s="2" t="s">
        <v>149</v>
      </c>
      <c r="C100" s="2" t="s">
        <v>37</v>
      </c>
      <c r="D100" s="2" t="s">
        <v>150</v>
      </c>
      <c r="E100" s="3" t="n">
        <v>46198</v>
      </c>
      <c r="F100" s="4" t="n">
        <v>6</v>
      </c>
      <c r="G100" s="4" t="n">
        <v>311.9</v>
      </c>
      <c r="H100" s="4" t="n">
        <v>380</v>
      </c>
      <c r="I100" s="2" t="str">
        <f aca="false">IF(G100&gt;H100,"Over Limit","Normal")</f>
        <v>Normal</v>
      </c>
      <c r="J100" s="2" t="str">
        <f aca="false">IF(G100&gt;H100*1.4,"LEAK ALERT",IF(G100&gt;H100,"Warning","OK"))</f>
        <v>OK</v>
      </c>
      <c r="K100" s="4" t="n">
        <v>44</v>
      </c>
    </row>
    <row r="101" customFormat="false" ht="15" hidden="false" customHeight="false" outlineLevel="0" collapsed="false">
      <c r="A101" s="5" t="s">
        <v>154</v>
      </c>
      <c r="B101" s="5" t="s">
        <v>149</v>
      </c>
      <c r="C101" s="5" t="s">
        <v>37</v>
      </c>
      <c r="D101" s="5" t="s">
        <v>150</v>
      </c>
      <c r="E101" s="6" t="n">
        <v>46199</v>
      </c>
      <c r="F101" s="7" t="n">
        <v>6</v>
      </c>
      <c r="G101" s="7" t="n">
        <v>295.5</v>
      </c>
      <c r="H101" s="7" t="n">
        <v>380</v>
      </c>
      <c r="I101" s="5" t="str">
        <f aca="false">IF(G101&gt;H101,"Over Limit","Normal")</f>
        <v>Normal</v>
      </c>
      <c r="J101" s="5" t="str">
        <f aca="false">IF(G101&gt;H101*1.4,"LEAK ALERT",IF(G101&gt;H101,"Warning","OK"))</f>
        <v>OK</v>
      </c>
      <c r="K101" s="7" t="n">
        <v>78</v>
      </c>
    </row>
    <row r="102" customFormat="false" ht="15" hidden="false" customHeight="false" outlineLevel="0" collapsed="false">
      <c r="A102" s="2" t="s">
        <v>155</v>
      </c>
      <c r="B102" s="2" t="s">
        <v>156</v>
      </c>
      <c r="C102" s="2" t="s">
        <v>13</v>
      </c>
      <c r="D102" s="2" t="s">
        <v>157</v>
      </c>
      <c r="E102" s="3" t="n">
        <v>46195</v>
      </c>
      <c r="F102" s="4" t="n">
        <v>3</v>
      </c>
      <c r="G102" s="4" t="n">
        <v>133</v>
      </c>
      <c r="H102" s="4" t="n">
        <v>170</v>
      </c>
      <c r="I102" s="2" t="str">
        <f aca="false">IF(G102&gt;H102,"Over Limit","Normal")</f>
        <v>Normal</v>
      </c>
      <c r="J102" s="2" t="str">
        <f aca="false">IF(G102&gt;H102*1.4,"LEAK ALERT",IF(G102&gt;H102,"Warning","OK"))</f>
        <v>OK</v>
      </c>
      <c r="K102" s="4" t="n">
        <v>44</v>
      </c>
    </row>
    <row r="103" customFormat="false" ht="15" hidden="false" customHeight="false" outlineLevel="0" collapsed="false">
      <c r="A103" s="5" t="s">
        <v>158</v>
      </c>
      <c r="B103" s="5" t="s">
        <v>156</v>
      </c>
      <c r="C103" s="5" t="s">
        <v>13</v>
      </c>
      <c r="D103" s="5" t="s">
        <v>157</v>
      </c>
      <c r="E103" s="6" t="n">
        <v>46196</v>
      </c>
      <c r="F103" s="7" t="n">
        <v>3</v>
      </c>
      <c r="G103" s="7" t="n">
        <v>109.4</v>
      </c>
      <c r="H103" s="7" t="n">
        <v>170</v>
      </c>
      <c r="I103" s="5" t="str">
        <f aca="false">IF(G103&gt;H103,"Over Limit","Normal")</f>
        <v>Normal</v>
      </c>
      <c r="J103" s="5" t="str">
        <f aca="false">IF(G103&gt;H103*1.4,"LEAK ALERT",IF(G103&gt;H103,"Warning","OK"))</f>
        <v>OK</v>
      </c>
      <c r="K103" s="7" t="n">
        <v>73</v>
      </c>
    </row>
    <row r="104" customFormat="false" ht="15" hidden="false" customHeight="false" outlineLevel="0" collapsed="false">
      <c r="A104" s="2" t="s">
        <v>159</v>
      </c>
      <c r="B104" s="2" t="s">
        <v>156</v>
      </c>
      <c r="C104" s="2" t="s">
        <v>13</v>
      </c>
      <c r="D104" s="2" t="s">
        <v>157</v>
      </c>
      <c r="E104" s="3" t="n">
        <v>46197</v>
      </c>
      <c r="F104" s="4" t="n">
        <v>3</v>
      </c>
      <c r="G104" s="4" t="n">
        <v>125.8</v>
      </c>
      <c r="H104" s="4" t="n">
        <v>170</v>
      </c>
      <c r="I104" s="2" t="str">
        <f aca="false">IF(G104&gt;H104,"Over Limit","Normal")</f>
        <v>Normal</v>
      </c>
      <c r="J104" s="2" t="str">
        <f aca="false">IF(G104&gt;H104*1.4,"LEAK ALERT",IF(G104&gt;H104,"Warning","OK"))</f>
        <v>OK</v>
      </c>
      <c r="K104" s="4" t="n">
        <v>79</v>
      </c>
    </row>
    <row r="105" customFormat="false" ht="15" hidden="false" customHeight="false" outlineLevel="0" collapsed="false">
      <c r="A105" s="5" t="s">
        <v>160</v>
      </c>
      <c r="B105" s="5" t="s">
        <v>156</v>
      </c>
      <c r="C105" s="5" t="s">
        <v>13</v>
      </c>
      <c r="D105" s="5" t="s">
        <v>157</v>
      </c>
      <c r="E105" s="6" t="n">
        <v>46198</v>
      </c>
      <c r="F105" s="7" t="n">
        <v>3</v>
      </c>
      <c r="G105" s="7" t="n">
        <v>122.2</v>
      </c>
      <c r="H105" s="7" t="n">
        <v>170</v>
      </c>
      <c r="I105" s="5" t="str">
        <f aca="false">IF(G105&gt;H105,"Over Limit","Normal")</f>
        <v>Normal</v>
      </c>
      <c r="J105" s="5" t="str">
        <f aca="false">IF(G105&gt;H105*1.4,"LEAK ALERT",IF(G105&gt;H105,"Warning","OK"))</f>
        <v>OK</v>
      </c>
      <c r="K105" s="7" t="n">
        <v>45</v>
      </c>
    </row>
    <row r="106" customFormat="false" ht="15" hidden="false" customHeight="false" outlineLevel="0" collapsed="false">
      <c r="A106" s="2" t="s">
        <v>161</v>
      </c>
      <c r="B106" s="2" t="s">
        <v>156</v>
      </c>
      <c r="C106" s="2" t="s">
        <v>13</v>
      </c>
      <c r="D106" s="2" t="s">
        <v>157</v>
      </c>
      <c r="E106" s="3" t="n">
        <v>46199</v>
      </c>
      <c r="F106" s="4" t="n">
        <v>3</v>
      </c>
      <c r="G106" s="4" t="n">
        <v>113.1</v>
      </c>
      <c r="H106" s="4" t="n">
        <v>170</v>
      </c>
      <c r="I106" s="2" t="str">
        <f aca="false">IF(G106&gt;H106,"Over Limit","Normal")</f>
        <v>Normal</v>
      </c>
      <c r="J106" s="2" t="str">
        <f aca="false">IF(G106&gt;H106*1.4,"LEAK ALERT",IF(G106&gt;H106,"Warning","OK"))</f>
        <v>OK</v>
      </c>
      <c r="K106" s="4" t="n">
        <v>48</v>
      </c>
    </row>
    <row r="107" customFormat="false" ht="15" hidden="false" customHeight="false" outlineLevel="0" collapsed="false">
      <c r="A107" s="5" t="s">
        <v>162</v>
      </c>
      <c r="B107" s="5" t="s">
        <v>163</v>
      </c>
      <c r="C107" s="5" t="s">
        <v>21</v>
      </c>
      <c r="D107" s="5" t="s">
        <v>164</v>
      </c>
      <c r="E107" s="6" t="n">
        <v>46195</v>
      </c>
      <c r="F107" s="7" t="n">
        <v>6</v>
      </c>
      <c r="G107" s="7" t="n">
        <v>283.9</v>
      </c>
      <c r="H107" s="7" t="n">
        <v>370</v>
      </c>
      <c r="I107" s="5" t="str">
        <f aca="false">IF(G107&gt;H107,"Over Limit","Normal")</f>
        <v>Normal</v>
      </c>
      <c r="J107" s="5" t="str">
        <f aca="false">IF(G107&gt;H107*1.4,"LEAK ALERT",IF(G107&gt;H107,"Warning","OK"))</f>
        <v>OK</v>
      </c>
      <c r="K107" s="7" t="n">
        <v>77</v>
      </c>
    </row>
    <row r="108" customFormat="false" ht="15" hidden="false" customHeight="false" outlineLevel="0" collapsed="false">
      <c r="A108" s="2" t="s">
        <v>165</v>
      </c>
      <c r="B108" s="2" t="s">
        <v>163</v>
      </c>
      <c r="C108" s="2" t="s">
        <v>21</v>
      </c>
      <c r="D108" s="2" t="s">
        <v>164</v>
      </c>
      <c r="E108" s="3" t="n">
        <v>46196</v>
      </c>
      <c r="F108" s="4" t="n">
        <v>6</v>
      </c>
      <c r="G108" s="4" t="n">
        <v>309.2</v>
      </c>
      <c r="H108" s="4" t="n">
        <v>370</v>
      </c>
      <c r="I108" s="2" t="str">
        <f aca="false">IF(G108&gt;H108,"Over Limit","Normal")</f>
        <v>Normal</v>
      </c>
      <c r="J108" s="2" t="str">
        <f aca="false">IF(G108&gt;H108*1.4,"LEAK ALERT",IF(G108&gt;H108,"Warning","OK"))</f>
        <v>OK</v>
      </c>
      <c r="K108" s="4" t="n">
        <v>80</v>
      </c>
    </row>
    <row r="109" customFormat="false" ht="15" hidden="false" customHeight="false" outlineLevel="0" collapsed="false">
      <c r="A109" s="5" t="s">
        <v>166</v>
      </c>
      <c r="B109" s="5" t="s">
        <v>163</v>
      </c>
      <c r="C109" s="5" t="s">
        <v>21</v>
      </c>
      <c r="D109" s="5" t="s">
        <v>164</v>
      </c>
      <c r="E109" s="6" t="n">
        <v>46197</v>
      </c>
      <c r="F109" s="7" t="n">
        <v>6</v>
      </c>
      <c r="G109" s="7" t="n">
        <v>357.7</v>
      </c>
      <c r="H109" s="7" t="n">
        <v>370</v>
      </c>
      <c r="I109" s="5" t="str">
        <f aca="false">IF(G109&gt;H109,"Over Limit","Normal")</f>
        <v>Normal</v>
      </c>
      <c r="J109" s="5" t="str">
        <f aca="false">IF(G109&gt;H109*1.4,"LEAK ALERT",IF(G109&gt;H109,"Warning","OK"))</f>
        <v>OK</v>
      </c>
      <c r="K109" s="7" t="n">
        <v>46</v>
      </c>
    </row>
    <row r="110" customFormat="false" ht="15" hidden="false" customHeight="false" outlineLevel="0" collapsed="false">
      <c r="A110" s="2" t="s">
        <v>167</v>
      </c>
      <c r="B110" s="2" t="s">
        <v>163</v>
      </c>
      <c r="C110" s="2" t="s">
        <v>21</v>
      </c>
      <c r="D110" s="2" t="s">
        <v>164</v>
      </c>
      <c r="E110" s="3" t="n">
        <v>46198</v>
      </c>
      <c r="F110" s="4" t="n">
        <v>6</v>
      </c>
      <c r="G110" s="4" t="n">
        <v>265.3</v>
      </c>
      <c r="H110" s="4" t="n">
        <v>370</v>
      </c>
      <c r="I110" s="2" t="str">
        <f aca="false">IF(G110&gt;H110,"Over Limit","Normal")</f>
        <v>Normal</v>
      </c>
      <c r="J110" s="2" t="str">
        <f aca="false">IF(G110&gt;H110*1.4,"LEAK ALERT",IF(G110&gt;H110,"Warning","OK"))</f>
        <v>OK</v>
      </c>
      <c r="K110" s="4" t="n">
        <v>74</v>
      </c>
    </row>
    <row r="111" customFormat="false" ht="15" hidden="false" customHeight="false" outlineLevel="0" collapsed="false">
      <c r="A111" s="5" t="s">
        <v>168</v>
      </c>
      <c r="B111" s="5" t="s">
        <v>163</v>
      </c>
      <c r="C111" s="5" t="s">
        <v>21</v>
      </c>
      <c r="D111" s="5" t="s">
        <v>164</v>
      </c>
      <c r="E111" s="6" t="n">
        <v>46199</v>
      </c>
      <c r="F111" s="7" t="n">
        <v>6</v>
      </c>
      <c r="G111" s="7" t="n">
        <v>331.8</v>
      </c>
      <c r="H111" s="7" t="n">
        <v>370</v>
      </c>
      <c r="I111" s="5" t="str">
        <f aca="false">IF(G111&gt;H111,"Over Limit","Normal")</f>
        <v>Normal</v>
      </c>
      <c r="J111" s="5" t="str">
        <f aca="false">IF(G111&gt;H111*1.4,"LEAK ALERT",IF(G111&gt;H111,"Warning","OK"))</f>
        <v>OK</v>
      </c>
      <c r="K111" s="7" t="n">
        <v>61</v>
      </c>
    </row>
    <row r="112" customFormat="false" ht="15" hidden="false" customHeight="false" outlineLevel="0" collapsed="false">
      <c r="A112" s="2" t="s">
        <v>169</v>
      </c>
      <c r="B112" s="2" t="s">
        <v>170</v>
      </c>
      <c r="C112" s="2" t="s">
        <v>29</v>
      </c>
      <c r="D112" s="2" t="s">
        <v>171</v>
      </c>
      <c r="E112" s="3" t="n">
        <v>46195</v>
      </c>
      <c r="F112" s="4" t="n">
        <v>5</v>
      </c>
      <c r="G112" s="4" t="n">
        <v>271.3</v>
      </c>
      <c r="H112" s="4" t="n">
        <v>310</v>
      </c>
      <c r="I112" s="2" t="str">
        <f aca="false">IF(G112&gt;H112,"Over Limit","Normal")</f>
        <v>Normal</v>
      </c>
      <c r="J112" s="2" t="str">
        <f aca="false">IF(G112&gt;H112*1.4,"LEAK ALERT",IF(G112&gt;H112,"Warning","OK"))</f>
        <v>OK</v>
      </c>
      <c r="K112" s="4" t="n">
        <v>56</v>
      </c>
    </row>
    <row r="113" customFormat="false" ht="15" hidden="false" customHeight="false" outlineLevel="0" collapsed="false">
      <c r="A113" s="5" t="s">
        <v>172</v>
      </c>
      <c r="B113" s="5" t="s">
        <v>170</v>
      </c>
      <c r="C113" s="5" t="s">
        <v>29</v>
      </c>
      <c r="D113" s="5" t="s">
        <v>171</v>
      </c>
      <c r="E113" s="6" t="n">
        <v>46196</v>
      </c>
      <c r="F113" s="7" t="n">
        <v>5</v>
      </c>
      <c r="G113" s="7" t="n">
        <v>304.4</v>
      </c>
      <c r="H113" s="7" t="n">
        <v>310</v>
      </c>
      <c r="I113" s="5" t="str">
        <f aca="false">IF(G113&gt;H113,"Over Limit","Normal")</f>
        <v>Normal</v>
      </c>
      <c r="J113" s="5" t="str">
        <f aca="false">IF(G113&gt;H113*1.4,"LEAK ALERT",IF(G113&gt;H113,"Warning","OK"))</f>
        <v>OK</v>
      </c>
      <c r="K113" s="7" t="n">
        <v>57</v>
      </c>
    </row>
    <row r="114" customFormat="false" ht="15" hidden="false" customHeight="false" outlineLevel="0" collapsed="false">
      <c r="A114" s="2" t="s">
        <v>173</v>
      </c>
      <c r="B114" s="2" t="s">
        <v>170</v>
      </c>
      <c r="C114" s="2" t="s">
        <v>29</v>
      </c>
      <c r="D114" s="2" t="s">
        <v>171</v>
      </c>
      <c r="E114" s="3" t="n">
        <v>46197</v>
      </c>
      <c r="F114" s="4" t="n">
        <v>5</v>
      </c>
      <c r="G114" s="4" t="n">
        <v>220.9</v>
      </c>
      <c r="H114" s="4" t="n">
        <v>310</v>
      </c>
      <c r="I114" s="2" t="str">
        <f aca="false">IF(G114&gt;H114,"Over Limit","Normal")</f>
        <v>Normal</v>
      </c>
      <c r="J114" s="2" t="str">
        <f aca="false">IF(G114&gt;H114*1.4,"LEAK ALERT",IF(G114&gt;H114,"Warning","OK"))</f>
        <v>OK</v>
      </c>
      <c r="K114" s="4" t="n">
        <v>60</v>
      </c>
    </row>
    <row r="115" customFormat="false" ht="15" hidden="false" customHeight="false" outlineLevel="0" collapsed="false">
      <c r="A115" s="5" t="s">
        <v>174</v>
      </c>
      <c r="B115" s="5" t="s">
        <v>170</v>
      </c>
      <c r="C115" s="5" t="s">
        <v>29</v>
      </c>
      <c r="D115" s="5" t="s">
        <v>171</v>
      </c>
      <c r="E115" s="6" t="n">
        <v>46198</v>
      </c>
      <c r="F115" s="7" t="n">
        <v>5</v>
      </c>
      <c r="G115" s="7" t="n">
        <v>285.5</v>
      </c>
      <c r="H115" s="7" t="n">
        <v>310</v>
      </c>
      <c r="I115" s="5" t="str">
        <f aca="false">IF(G115&gt;H115,"Over Limit","Normal")</f>
        <v>Normal</v>
      </c>
      <c r="J115" s="5" t="str">
        <f aca="false">IF(G115&gt;H115*1.4,"LEAK ALERT",IF(G115&gt;H115,"Warning","OK"))</f>
        <v>OK</v>
      </c>
      <c r="K115" s="7" t="n">
        <v>70</v>
      </c>
    </row>
    <row r="116" customFormat="false" ht="15" hidden="false" customHeight="false" outlineLevel="0" collapsed="false">
      <c r="A116" s="2" t="s">
        <v>175</v>
      </c>
      <c r="B116" s="2" t="s">
        <v>170</v>
      </c>
      <c r="C116" s="2" t="s">
        <v>29</v>
      </c>
      <c r="D116" s="2" t="s">
        <v>171</v>
      </c>
      <c r="E116" s="3" t="n">
        <v>46199</v>
      </c>
      <c r="F116" s="4" t="n">
        <v>5</v>
      </c>
      <c r="G116" s="4" t="n">
        <v>236.6</v>
      </c>
      <c r="H116" s="4" t="n">
        <v>310</v>
      </c>
      <c r="I116" s="2" t="str">
        <f aca="false">IF(G116&gt;H116,"Over Limit","Normal")</f>
        <v>Normal</v>
      </c>
      <c r="J116" s="2" t="str">
        <f aca="false">IF(G116&gt;H116*1.4,"LEAK ALERT",IF(G116&gt;H116,"Warning","OK"))</f>
        <v>OK</v>
      </c>
      <c r="K116" s="4" t="n">
        <v>45</v>
      </c>
    </row>
    <row r="117" customFormat="false" ht="15" hidden="false" customHeight="false" outlineLevel="0" collapsed="false">
      <c r="A117" s="5" t="s">
        <v>176</v>
      </c>
      <c r="B117" s="5" t="s">
        <v>177</v>
      </c>
      <c r="C117" s="5" t="s">
        <v>37</v>
      </c>
      <c r="D117" s="5" t="s">
        <v>178</v>
      </c>
      <c r="E117" s="6" t="n">
        <v>46195</v>
      </c>
      <c r="F117" s="7" t="n">
        <v>3</v>
      </c>
      <c r="G117" s="7" t="n">
        <v>117.7</v>
      </c>
      <c r="H117" s="7" t="n">
        <v>180</v>
      </c>
      <c r="I117" s="5" t="str">
        <f aca="false">IF(G117&gt;H117,"Over Limit","Normal")</f>
        <v>Normal</v>
      </c>
      <c r="J117" s="5" t="str">
        <f aca="false">IF(G117&gt;H117*1.4,"LEAK ALERT",IF(G117&gt;H117,"Warning","OK"))</f>
        <v>OK</v>
      </c>
      <c r="K117" s="7" t="n">
        <v>80</v>
      </c>
    </row>
    <row r="118" customFormat="false" ht="15" hidden="false" customHeight="false" outlineLevel="0" collapsed="false">
      <c r="A118" s="2" t="s">
        <v>179</v>
      </c>
      <c r="B118" s="2" t="s">
        <v>177</v>
      </c>
      <c r="C118" s="2" t="s">
        <v>37</v>
      </c>
      <c r="D118" s="2" t="s">
        <v>178</v>
      </c>
      <c r="E118" s="3" t="n">
        <v>46196</v>
      </c>
      <c r="F118" s="4" t="n">
        <v>3</v>
      </c>
      <c r="G118" s="4" t="n">
        <v>413.7</v>
      </c>
      <c r="H118" s="4" t="n">
        <v>180</v>
      </c>
      <c r="I118" s="2" t="str">
        <f aca="false">IF(G118&gt;H118,"Over Limit","Normal")</f>
        <v>Over Limit</v>
      </c>
      <c r="J118" s="2" t="str">
        <f aca="false">IF(G118&gt;H118*1.4,"LEAK ALERT",IF(G118&gt;H118,"Warning","OK"))</f>
        <v>LEAK ALERT</v>
      </c>
      <c r="K118" s="4" t="n">
        <v>47</v>
      </c>
    </row>
    <row r="119" customFormat="false" ht="15" hidden="false" customHeight="false" outlineLevel="0" collapsed="false">
      <c r="A119" s="5" t="s">
        <v>180</v>
      </c>
      <c r="B119" s="5" t="s">
        <v>177</v>
      </c>
      <c r="C119" s="5" t="s">
        <v>37</v>
      </c>
      <c r="D119" s="5" t="s">
        <v>178</v>
      </c>
      <c r="E119" s="6" t="n">
        <v>46197</v>
      </c>
      <c r="F119" s="7" t="n">
        <v>3</v>
      </c>
      <c r="G119" s="7" t="n">
        <v>106.9</v>
      </c>
      <c r="H119" s="7" t="n">
        <v>180</v>
      </c>
      <c r="I119" s="5" t="str">
        <f aca="false">IF(G119&gt;H119,"Over Limit","Normal")</f>
        <v>Normal</v>
      </c>
      <c r="J119" s="5" t="str">
        <f aca="false">IF(G119&gt;H119*1.4,"LEAK ALERT",IF(G119&gt;H119,"Warning","OK"))</f>
        <v>OK</v>
      </c>
      <c r="K119" s="7" t="n">
        <v>57</v>
      </c>
    </row>
    <row r="120" customFormat="false" ht="15" hidden="false" customHeight="false" outlineLevel="0" collapsed="false">
      <c r="A120" s="2" t="s">
        <v>181</v>
      </c>
      <c r="B120" s="2" t="s">
        <v>177</v>
      </c>
      <c r="C120" s="2" t="s">
        <v>37</v>
      </c>
      <c r="D120" s="2" t="s">
        <v>178</v>
      </c>
      <c r="E120" s="3" t="n">
        <v>46198</v>
      </c>
      <c r="F120" s="4" t="n">
        <v>3</v>
      </c>
      <c r="G120" s="4" t="n">
        <v>103.2</v>
      </c>
      <c r="H120" s="4" t="n">
        <v>180</v>
      </c>
      <c r="I120" s="2" t="str">
        <f aca="false">IF(G120&gt;H120,"Over Limit","Normal")</f>
        <v>Normal</v>
      </c>
      <c r="J120" s="2" t="str">
        <f aca="false">IF(G120&gt;H120*1.4,"LEAK ALERT",IF(G120&gt;H120,"Warning","OK"))</f>
        <v>OK</v>
      </c>
      <c r="K120" s="4" t="n">
        <v>49</v>
      </c>
    </row>
    <row r="121" customFormat="false" ht="15" hidden="false" customHeight="false" outlineLevel="0" collapsed="false">
      <c r="A121" s="5" t="s">
        <v>182</v>
      </c>
      <c r="B121" s="5" t="s">
        <v>177</v>
      </c>
      <c r="C121" s="5" t="s">
        <v>37</v>
      </c>
      <c r="D121" s="5" t="s">
        <v>178</v>
      </c>
      <c r="E121" s="6" t="n">
        <v>46199</v>
      </c>
      <c r="F121" s="7" t="n">
        <v>3</v>
      </c>
      <c r="G121" s="7" t="n">
        <v>122</v>
      </c>
      <c r="H121" s="7" t="n">
        <v>180</v>
      </c>
      <c r="I121" s="5" t="str">
        <f aca="false">IF(G121&gt;H121,"Over Limit","Normal")</f>
        <v>Normal</v>
      </c>
      <c r="J121" s="5" t="str">
        <f aca="false">IF(G121&gt;H121*1.4,"LEAK ALERT",IF(G121&gt;H121,"Warning","OK"))</f>
        <v>OK</v>
      </c>
      <c r="K121" s="7" t="n">
        <v>97</v>
      </c>
    </row>
    <row r="122" customFormat="false" ht="15" hidden="false" customHeight="false" outlineLevel="0" collapsed="false">
      <c r="A122" s="2" t="s">
        <v>183</v>
      </c>
      <c r="B122" s="2" t="s">
        <v>184</v>
      </c>
      <c r="C122" s="2" t="s">
        <v>13</v>
      </c>
      <c r="D122" s="2" t="s">
        <v>185</v>
      </c>
      <c r="E122" s="3" t="n">
        <v>46195</v>
      </c>
      <c r="F122" s="4" t="n">
        <v>5</v>
      </c>
      <c r="G122" s="4" t="n">
        <v>162.5</v>
      </c>
      <c r="H122" s="4" t="n">
        <v>290</v>
      </c>
      <c r="I122" s="2" t="str">
        <f aca="false">IF(G122&gt;H122,"Over Limit","Normal")</f>
        <v>Normal</v>
      </c>
      <c r="J122" s="2" t="str">
        <f aca="false">IF(G122&gt;H122*1.4,"LEAK ALERT",IF(G122&gt;H122,"Warning","OK"))</f>
        <v>OK</v>
      </c>
      <c r="K122" s="4" t="n">
        <v>59</v>
      </c>
    </row>
    <row r="123" customFormat="false" ht="15" hidden="false" customHeight="false" outlineLevel="0" collapsed="false">
      <c r="A123" s="5" t="s">
        <v>186</v>
      </c>
      <c r="B123" s="5" t="s">
        <v>184</v>
      </c>
      <c r="C123" s="5" t="s">
        <v>13</v>
      </c>
      <c r="D123" s="5" t="s">
        <v>185</v>
      </c>
      <c r="E123" s="6" t="n">
        <v>46196</v>
      </c>
      <c r="F123" s="7" t="n">
        <v>5</v>
      </c>
      <c r="G123" s="7" t="n">
        <v>203.3</v>
      </c>
      <c r="H123" s="7" t="n">
        <v>290</v>
      </c>
      <c r="I123" s="5" t="str">
        <f aca="false">IF(G123&gt;H123,"Over Limit","Normal")</f>
        <v>Normal</v>
      </c>
      <c r="J123" s="5" t="str">
        <f aca="false">IF(G123&gt;H123*1.4,"LEAK ALERT",IF(G123&gt;H123,"Warning","OK"))</f>
        <v>OK</v>
      </c>
      <c r="K123" s="7" t="n">
        <v>86</v>
      </c>
    </row>
    <row r="124" customFormat="false" ht="15" hidden="false" customHeight="false" outlineLevel="0" collapsed="false">
      <c r="A124" s="2" t="s">
        <v>187</v>
      </c>
      <c r="B124" s="2" t="s">
        <v>184</v>
      </c>
      <c r="C124" s="2" t="s">
        <v>13</v>
      </c>
      <c r="D124" s="2" t="s">
        <v>185</v>
      </c>
      <c r="E124" s="3" t="n">
        <v>46197</v>
      </c>
      <c r="F124" s="4" t="n">
        <v>5</v>
      </c>
      <c r="G124" s="4" t="n">
        <v>215.1</v>
      </c>
      <c r="H124" s="4" t="n">
        <v>290</v>
      </c>
      <c r="I124" s="2" t="str">
        <f aca="false">IF(G124&gt;H124,"Over Limit","Normal")</f>
        <v>Normal</v>
      </c>
      <c r="J124" s="2" t="str">
        <f aca="false">IF(G124&gt;H124*1.4,"LEAK ALERT",IF(G124&gt;H124,"Warning","OK"))</f>
        <v>OK</v>
      </c>
      <c r="K124" s="4" t="n">
        <v>60</v>
      </c>
    </row>
    <row r="125" customFormat="false" ht="15" hidden="false" customHeight="false" outlineLevel="0" collapsed="false">
      <c r="A125" s="5" t="s">
        <v>188</v>
      </c>
      <c r="B125" s="5" t="s">
        <v>184</v>
      </c>
      <c r="C125" s="5" t="s">
        <v>13</v>
      </c>
      <c r="D125" s="5" t="s">
        <v>185</v>
      </c>
      <c r="E125" s="6" t="n">
        <v>46198</v>
      </c>
      <c r="F125" s="7" t="n">
        <v>5</v>
      </c>
      <c r="G125" s="7" t="n">
        <v>131.8</v>
      </c>
      <c r="H125" s="7" t="n">
        <v>290</v>
      </c>
      <c r="I125" s="5" t="str">
        <f aca="false">IF(G125&gt;H125,"Over Limit","Normal")</f>
        <v>Normal</v>
      </c>
      <c r="J125" s="5" t="str">
        <f aca="false">IF(G125&gt;H125*1.4,"LEAK ALERT",IF(G125&gt;H125,"Warning","OK"))</f>
        <v>OK</v>
      </c>
      <c r="K125" s="7" t="n">
        <v>82</v>
      </c>
    </row>
    <row r="126" customFormat="false" ht="15" hidden="false" customHeight="false" outlineLevel="0" collapsed="false">
      <c r="A126" s="2" t="s">
        <v>189</v>
      </c>
      <c r="B126" s="2" t="s">
        <v>184</v>
      </c>
      <c r="C126" s="2" t="s">
        <v>13</v>
      </c>
      <c r="D126" s="2" t="s">
        <v>185</v>
      </c>
      <c r="E126" s="3" t="n">
        <v>46199</v>
      </c>
      <c r="F126" s="4" t="n">
        <v>5</v>
      </c>
      <c r="G126" s="4" t="n">
        <v>139.4</v>
      </c>
      <c r="H126" s="4" t="n">
        <v>290</v>
      </c>
      <c r="I126" s="2" t="str">
        <f aca="false">IF(G126&gt;H126,"Over Limit","Normal")</f>
        <v>Normal</v>
      </c>
      <c r="J126" s="2" t="str">
        <f aca="false">IF(G126&gt;H126*1.4,"LEAK ALERT",IF(G126&gt;H126,"Warning","OK"))</f>
        <v>OK</v>
      </c>
      <c r="K126" s="4" t="n">
        <v>74</v>
      </c>
    </row>
    <row r="127" customFormat="false" ht="15" hidden="false" customHeight="false" outlineLevel="0" collapsed="false">
      <c r="A127" s="5" t="s">
        <v>190</v>
      </c>
      <c r="B127" s="5" t="s">
        <v>191</v>
      </c>
      <c r="C127" s="5" t="s">
        <v>21</v>
      </c>
      <c r="D127" s="5" t="s">
        <v>192</v>
      </c>
      <c r="E127" s="6" t="n">
        <v>46195</v>
      </c>
      <c r="F127" s="7" t="n">
        <v>6</v>
      </c>
      <c r="G127" s="7" t="n">
        <v>201.3</v>
      </c>
      <c r="H127" s="7" t="n">
        <v>350</v>
      </c>
      <c r="I127" s="5" t="str">
        <f aca="false">IF(G127&gt;H127,"Over Limit","Normal")</f>
        <v>Normal</v>
      </c>
      <c r="J127" s="5" t="str">
        <f aca="false">IF(G127&gt;H127*1.4,"LEAK ALERT",IF(G127&gt;H127,"Warning","OK"))</f>
        <v>OK</v>
      </c>
      <c r="K127" s="7" t="n">
        <v>83</v>
      </c>
    </row>
    <row r="128" customFormat="false" ht="15" hidden="false" customHeight="false" outlineLevel="0" collapsed="false">
      <c r="A128" s="2" t="s">
        <v>193</v>
      </c>
      <c r="B128" s="2" t="s">
        <v>191</v>
      </c>
      <c r="C128" s="2" t="s">
        <v>21</v>
      </c>
      <c r="D128" s="2" t="s">
        <v>192</v>
      </c>
      <c r="E128" s="3" t="n">
        <v>46196</v>
      </c>
      <c r="F128" s="4" t="n">
        <v>6</v>
      </c>
      <c r="G128" s="4" t="n">
        <v>175.5</v>
      </c>
      <c r="H128" s="4" t="n">
        <v>350</v>
      </c>
      <c r="I128" s="2" t="str">
        <f aca="false">IF(G128&gt;H128,"Over Limit","Normal")</f>
        <v>Normal</v>
      </c>
      <c r="J128" s="2" t="str">
        <f aca="false">IF(G128&gt;H128*1.4,"LEAK ALERT",IF(G128&gt;H128,"Warning","OK"))</f>
        <v>OK</v>
      </c>
      <c r="K128" s="4" t="n">
        <v>47</v>
      </c>
    </row>
    <row r="129" customFormat="false" ht="15" hidden="false" customHeight="false" outlineLevel="0" collapsed="false">
      <c r="A129" s="5" t="s">
        <v>194</v>
      </c>
      <c r="B129" s="5" t="s">
        <v>191</v>
      </c>
      <c r="C129" s="5" t="s">
        <v>21</v>
      </c>
      <c r="D129" s="5" t="s">
        <v>192</v>
      </c>
      <c r="E129" s="6" t="n">
        <v>46197</v>
      </c>
      <c r="F129" s="7" t="n">
        <v>6</v>
      </c>
      <c r="G129" s="7" t="n">
        <v>204.9</v>
      </c>
      <c r="H129" s="7" t="n">
        <v>350</v>
      </c>
      <c r="I129" s="5" t="str">
        <f aca="false">IF(G129&gt;H129,"Over Limit","Normal")</f>
        <v>Normal</v>
      </c>
      <c r="J129" s="5" t="str">
        <f aca="false">IF(G129&gt;H129*1.4,"LEAK ALERT",IF(G129&gt;H129,"Warning","OK"))</f>
        <v>OK</v>
      </c>
      <c r="K129" s="7" t="n">
        <v>48</v>
      </c>
    </row>
    <row r="130" customFormat="false" ht="15" hidden="false" customHeight="false" outlineLevel="0" collapsed="false">
      <c r="A130" s="2" t="s">
        <v>195</v>
      </c>
      <c r="B130" s="2" t="s">
        <v>191</v>
      </c>
      <c r="C130" s="2" t="s">
        <v>21</v>
      </c>
      <c r="D130" s="2" t="s">
        <v>192</v>
      </c>
      <c r="E130" s="3" t="n">
        <v>46198</v>
      </c>
      <c r="F130" s="4" t="n">
        <v>6</v>
      </c>
      <c r="G130" s="4" t="n">
        <v>188.7</v>
      </c>
      <c r="H130" s="4" t="n">
        <v>350</v>
      </c>
      <c r="I130" s="2" t="str">
        <f aca="false">IF(G130&gt;H130,"Over Limit","Normal")</f>
        <v>Normal</v>
      </c>
      <c r="J130" s="2" t="str">
        <f aca="false">IF(G130&gt;H130*1.4,"LEAK ALERT",IF(G130&gt;H130,"Warning","OK"))</f>
        <v>OK</v>
      </c>
      <c r="K130" s="4" t="n">
        <v>97</v>
      </c>
    </row>
    <row r="131" customFormat="false" ht="15" hidden="false" customHeight="false" outlineLevel="0" collapsed="false">
      <c r="A131" s="5" t="s">
        <v>196</v>
      </c>
      <c r="B131" s="5" t="s">
        <v>191</v>
      </c>
      <c r="C131" s="5" t="s">
        <v>21</v>
      </c>
      <c r="D131" s="5" t="s">
        <v>192</v>
      </c>
      <c r="E131" s="6" t="n">
        <v>46199</v>
      </c>
      <c r="F131" s="7" t="n">
        <v>6</v>
      </c>
      <c r="G131" s="7" t="n">
        <v>216.4</v>
      </c>
      <c r="H131" s="7" t="n">
        <v>350</v>
      </c>
      <c r="I131" s="5" t="str">
        <f aca="false">IF(G131&gt;H131,"Over Limit","Normal")</f>
        <v>Normal</v>
      </c>
      <c r="J131" s="5" t="str">
        <f aca="false">IF(G131&gt;H131*1.4,"LEAK ALERT",IF(G131&gt;H131,"Warning","OK"))</f>
        <v>OK</v>
      </c>
      <c r="K131" s="7" t="n">
        <v>58</v>
      </c>
    </row>
  </sheetData>
  <autoFilter ref="A1:K1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6.15" hidden="false" customHeight="false" outlineLevel="0" collapsed="false">
      <c r="A1" s="8" t="s">
        <v>197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198</v>
      </c>
    </row>
    <row r="4" customFormat="false" ht="15" hidden="false" customHeight="false" outlineLevel="0" collapsed="false">
      <c r="A4" s="9" t="s">
        <v>199</v>
      </c>
    </row>
    <row r="5" customFormat="false" ht="15" hidden="false" customHeight="false" outlineLevel="0" collapsed="false">
      <c r="A5" s="9"/>
    </row>
    <row r="6" customFormat="false" ht="15" hidden="false" customHeight="false" outlineLevel="0" collapsed="false">
      <c r="A6" s="9" t="s">
        <v>200</v>
      </c>
    </row>
    <row r="7" customFormat="false" ht="15" hidden="false" customHeight="false" outlineLevel="0" collapsed="false">
      <c r="A7" s="9" t="s">
        <v>201</v>
      </c>
    </row>
    <row r="8" customFormat="false" ht="15" hidden="false" customHeight="false" outlineLevel="0" collapsed="false">
      <c r="A8" s="9" t="s">
        <v>202</v>
      </c>
    </row>
    <row r="9" customFormat="false" ht="15" hidden="false" customHeight="false" outlineLevel="0" collapsed="false">
      <c r="A9" s="9" t="s">
        <v>203</v>
      </c>
    </row>
    <row r="10" customFormat="false" ht="15" hidden="false" customHeight="false" outlineLevel="0" collapsed="false">
      <c r="A10" s="9" t="s">
        <v>204</v>
      </c>
    </row>
    <row r="11" customFormat="false" ht="15" hidden="false" customHeight="false" outlineLevel="0" collapsed="false">
      <c r="A11" s="9" t="s">
        <v>205</v>
      </c>
    </row>
    <row r="12" customFormat="false" ht="15" hidden="false" customHeight="false" outlineLevel="0" collapsed="false">
      <c r="A12" s="9" t="s">
        <v>206</v>
      </c>
    </row>
    <row r="13" customFormat="false" ht="15" hidden="false" customHeight="false" outlineLevel="0" collapsed="false">
      <c r="A13" s="9" t="s">
        <v>207</v>
      </c>
    </row>
    <row r="14" customFormat="false" ht="15" hidden="false" customHeight="false" outlineLevel="0" collapsed="false">
      <c r="A14" s="9"/>
    </row>
    <row r="15" customFormat="false" ht="15" hidden="false" customHeight="false" outlineLevel="0" collapsed="false">
      <c r="A15" s="10" t="s">
        <v>208</v>
      </c>
    </row>
    <row r="16" customFormat="false" ht="15" hidden="false" customHeight="false" outlineLevel="0" collapsed="false">
      <c r="A16" s="9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2026-07-11T15:40:26Z</dcterms:created>
  <dc:creator>openpyxl</dc:creator>
  <dc:description/>
  <dc:language>en-US</dc:language>
  <cp:lastModifiedBy/>
  <dcterms:modified xsi:type="dcterms:W3CDTF">2026-07-11T15:40:26Z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